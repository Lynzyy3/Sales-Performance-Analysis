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ishom.john\Downloads\"/>
    </mc:Choice>
  </mc:AlternateContent>
  <xr:revisionPtr revIDLastSave="0" documentId="13_ncr:1_{91413E80-313E-460E-B1CC-6C5AF2F8377F}" xr6:coauthVersionLast="47" xr6:coauthVersionMax="47" xr10:uidLastSave="{00000000-0000-0000-0000-000000000000}"/>
  <bookViews>
    <workbookView xWindow="-108" yWindow="-108" windowWidth="23256" windowHeight="12456" xr2:uid="{F8ED1CB9-4A34-4FB1-8088-4B7ECBD513B3}"/>
  </bookViews>
  <sheets>
    <sheet name="excel_eda_sample_data" sheetId="1" r:id="rId1"/>
    <sheet name="supplier_data" sheetId="2" r:id="rId2"/>
  </sheets>
  <definedNames>
    <definedName name="_xlnm._FilterDatabase" localSheetId="0" hidden="1">excel_eda_sample_data!$A$1:$F$1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2" i="1"/>
  <c r="G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M3" i="1"/>
  <c r="M4" i="1"/>
  <c r="M5" i="1"/>
  <c r="M6" i="1"/>
  <c r="M7" i="1"/>
  <c r="M8" i="1"/>
  <c r="M9" i="1"/>
  <c r="M10" i="1"/>
  <c r="M11" i="1"/>
  <c r="M2" i="1"/>
  <c r="I3" i="1"/>
</calcChain>
</file>

<file path=xl/sharedStrings.xml><?xml version="1.0" encoding="utf-8"?>
<sst xmlns="http://schemas.openxmlformats.org/spreadsheetml/2006/main" count="3044" uniqueCount="38">
  <si>
    <t>Date</t>
  </si>
  <si>
    <t>Product</t>
  </si>
  <si>
    <t>Category</t>
  </si>
  <si>
    <t>Region</t>
  </si>
  <si>
    <t>Sales ($)</t>
  </si>
  <si>
    <t>Units Sold</t>
  </si>
  <si>
    <t>Camera</t>
  </si>
  <si>
    <t>Electronics</t>
  </si>
  <si>
    <t>East</t>
  </si>
  <si>
    <t>West</t>
  </si>
  <si>
    <t>Phone</t>
  </si>
  <si>
    <t>North</t>
  </si>
  <si>
    <t>Laptop</t>
  </si>
  <si>
    <t>South</t>
  </si>
  <si>
    <t>Monitor</t>
  </si>
  <si>
    <t>Shoes</t>
  </si>
  <si>
    <t>Apparel</t>
  </si>
  <si>
    <t>Watch</t>
  </si>
  <si>
    <t>Accessories</t>
  </si>
  <si>
    <t>Mouse</t>
  </si>
  <si>
    <t>Keyboard</t>
  </si>
  <si>
    <t>Headphones</t>
  </si>
  <si>
    <t>Tablet</t>
  </si>
  <si>
    <t>Supplier</t>
  </si>
  <si>
    <t>Cost Price ($)</t>
  </si>
  <si>
    <t>Dell</t>
  </si>
  <si>
    <t>Samsung</t>
  </si>
  <si>
    <t>Apple</t>
  </si>
  <si>
    <t>Sony</t>
  </si>
  <si>
    <t>Nike</t>
  </si>
  <si>
    <t>Fossil</t>
  </si>
  <si>
    <t>Canon</t>
  </si>
  <si>
    <t>LG</t>
  </si>
  <si>
    <t>Logitech</t>
  </si>
  <si>
    <t>HP</t>
  </si>
  <si>
    <t>avg sales  per product</t>
  </si>
  <si>
    <t>Supplier name(lookup)</t>
  </si>
  <si>
    <t>top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</si>
</sst>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9"/>
      <color theme="1"/>
      <name val="Aptos Narrow"/>
      <family val="2"/>
    </font>
    <font>
      <sz val="9"/>
      <color theme="1"/>
      <name val="Aptos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9"/>
      <color rgb="FF006100"/>
      <name val="Aptos Narrow"/>
      <family val="2"/>
    </font>
    <font>
      <sz val="9"/>
      <color rgb="FF9C0006"/>
      <name val="Aptos Narrow"/>
      <family val="2"/>
    </font>
    <font>
      <sz val="9"/>
      <color rgb="FF9C5700"/>
      <name val="Aptos Narrow"/>
      <family val="2"/>
    </font>
    <font>
      <sz val="9"/>
      <color rgb="FF3F3F76"/>
      <name val="Aptos Narrow"/>
      <family val="2"/>
    </font>
    <font>
      <b/>
      <sz val="9"/>
      <color rgb="FF3F3F3F"/>
      <name val="Aptos Narrow"/>
      <family val="2"/>
    </font>
    <font>
      <b/>
      <sz val="9"/>
      <color rgb="FFFA7D00"/>
      <name val="Aptos Narrow"/>
      <family val="2"/>
    </font>
    <font>
      <sz val="9"/>
      <color rgb="FFFA7D00"/>
      <name val="Aptos Narrow"/>
      <family val="2"/>
    </font>
    <font>
      <b/>
      <sz val="9"/>
      <color theme="0"/>
      <name val="Aptos Narrow"/>
      <family val="2"/>
    </font>
    <font>
      <sz val="9"/>
      <color rgb="FFFF0000"/>
      <name val="Aptos Narrow"/>
      <family val="2"/>
    </font>
    <font>
      <i/>
      <sz val="9"/>
      <color rgb="FF7F7F7F"/>
      <name val="Aptos Narrow"/>
      <family val="2"/>
    </font>
    <font>
      <b/>
      <sz val="9"/>
      <color theme="1"/>
      <name val="Aptos Narrow"/>
      <family val="2"/>
    </font>
    <font>
      <sz val="9"/>
      <color theme="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3" borderId="0" xfId="0" applyFill="1"/>
    <xf numFmtId="165" fontId="0" fillId="33" borderId="0" xfId="42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342F-A8AA-49EC-8B9E-8958F61F1D99}">
  <dimension ref="A1:O1001"/>
  <sheetViews>
    <sheetView tabSelected="1" workbookViewId="0">
      <selection activeCell="S18" sqref="S18"/>
    </sheetView>
  </sheetViews>
  <sheetFormatPr defaultRowHeight="12" x14ac:dyDescent="0.25"/>
  <cols>
    <col min="1" max="1" width="10.42578125" bestFit="1" customWidth="1"/>
    <col min="2" max="2" width="12.140625" bestFit="1" customWidth="1"/>
    <col min="3" max="3" width="11.5703125" bestFit="1" customWidth="1"/>
    <col min="4" max="4" width="7" bestFit="1" customWidth="1"/>
    <col min="5" max="5" width="8.5703125" bestFit="1" customWidth="1"/>
    <col min="6" max="6" width="9.85546875" bestFit="1" customWidth="1"/>
    <col min="7" max="7" width="13.85546875" style="4" bestFit="1" customWidth="1"/>
    <col min="8" max="8" width="9.140625" style="4"/>
    <col min="9" max="9" width="9.5703125" style="4" bestFit="1" customWidth="1"/>
    <col min="10" max="12" width="9.140625" style="4"/>
    <col min="13" max="13" width="20.42578125" style="4" bestFit="1" customWidth="1"/>
    <col min="14" max="15" width="9.140625" style="4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36</v>
      </c>
      <c r="L1" s="4" t="s">
        <v>1</v>
      </c>
      <c r="M1" s="4" t="s">
        <v>35</v>
      </c>
      <c r="O1" s="4" t="s">
        <v>37</v>
      </c>
    </row>
    <row r="2" spans="1:15" x14ac:dyDescent="0.25">
      <c r="A2" s="1">
        <v>45084</v>
      </c>
      <c r="B2" t="s">
        <v>6</v>
      </c>
      <c r="C2" t="s">
        <v>7</v>
      </c>
      <c r="D2" t="s">
        <v>8</v>
      </c>
      <c r="E2">
        <v>1483.11</v>
      </c>
      <c r="F2">
        <v>1</v>
      </c>
      <c r="G2" s="4" t="str">
        <f>_xlfn.XLOOKUP($B2,supplier_data!A:A,supplier_data!B:B)</f>
        <v>Canon</v>
      </c>
      <c r="L2" s="4" t="s">
        <v>6</v>
      </c>
      <c r="M2" s="4">
        <f>AVERAGEIFS(E:E,B:B,L2)</f>
        <v>1068.5208080808086</v>
      </c>
      <c r="O2" s="4">
        <f>SUMIFS(E:E,B:B,L2)</f>
        <v>105783.56000000004</v>
      </c>
    </row>
    <row r="3" spans="1:15" x14ac:dyDescent="0.25">
      <c r="A3" s="1">
        <v>45146</v>
      </c>
      <c r="B3" t="s">
        <v>6</v>
      </c>
      <c r="C3" t="s">
        <v>7</v>
      </c>
      <c r="D3" t="s">
        <v>9</v>
      </c>
      <c r="E3">
        <v>1685.42</v>
      </c>
      <c r="F3">
        <v>12</v>
      </c>
      <c r="G3" s="4" t="str">
        <f>_xlfn.XLOOKUP($B3,supplier_data!A:A,supplier_data!B:B)</f>
        <v>Canon</v>
      </c>
      <c r="H3" s="4" t="s">
        <v>9</v>
      </c>
      <c r="I3" s="5">
        <f>SUMIFS(F:F,D:D,H3)</f>
        <v>6896</v>
      </c>
      <c r="L3" s="4" t="s">
        <v>10</v>
      </c>
      <c r="M3" s="4">
        <f t="shared" ref="M3:O11" si="0">AVERAGEIFS(E:E,B:B,L3)</f>
        <v>1066.0514130434785</v>
      </c>
      <c r="O3" s="4">
        <f t="shared" ref="O3:O11" si="1">SUMIFS(E:E,B:B,L3)</f>
        <v>98076.730000000025</v>
      </c>
    </row>
    <row r="4" spans="1:15" x14ac:dyDescent="0.25">
      <c r="A4" s="1">
        <v>45219</v>
      </c>
      <c r="B4" t="s">
        <v>10</v>
      </c>
      <c r="C4" t="s">
        <v>7</v>
      </c>
      <c r="D4" t="s">
        <v>11</v>
      </c>
      <c r="E4">
        <v>1419.61</v>
      </c>
      <c r="F4">
        <v>15</v>
      </c>
      <c r="G4" s="4" t="str">
        <f>_xlfn.XLOOKUP($B4,supplier_data!A:A,supplier_data!B:B)</f>
        <v>Samsung</v>
      </c>
      <c r="L4" s="4" t="s">
        <v>12</v>
      </c>
      <c r="M4" s="4">
        <f t="shared" si="0"/>
        <v>1091.8952380952383</v>
      </c>
      <c r="O4" s="4">
        <f t="shared" si="1"/>
        <v>91719.200000000012</v>
      </c>
    </row>
    <row r="5" spans="1:15" x14ac:dyDescent="0.25">
      <c r="A5" s="1">
        <v>45160</v>
      </c>
      <c r="B5" t="s">
        <v>12</v>
      </c>
      <c r="C5" t="s">
        <v>7</v>
      </c>
      <c r="D5" t="s">
        <v>9</v>
      </c>
      <c r="E5">
        <v>789.65</v>
      </c>
      <c r="F5">
        <v>34</v>
      </c>
      <c r="G5" s="4" t="str">
        <f>_xlfn.XLOOKUP($B5,supplier_data!A:A,supplier_data!B:B)</f>
        <v>Dell</v>
      </c>
      <c r="L5" s="4" t="s">
        <v>14</v>
      </c>
      <c r="M5" s="4">
        <f t="shared" si="0"/>
        <v>1068.5713131313128</v>
      </c>
      <c r="O5" s="4">
        <f t="shared" si="1"/>
        <v>105788.55999999995</v>
      </c>
    </row>
    <row r="6" spans="1:15" x14ac:dyDescent="0.25">
      <c r="A6" s="1">
        <v>45213</v>
      </c>
      <c r="B6" t="s">
        <v>6</v>
      </c>
      <c r="C6" t="s">
        <v>7</v>
      </c>
      <c r="D6" t="s">
        <v>13</v>
      </c>
      <c r="E6">
        <v>1810.38</v>
      </c>
      <c r="F6">
        <v>6</v>
      </c>
      <c r="G6" s="4" t="str">
        <f>_xlfn.XLOOKUP($B6,supplier_data!A:A,supplier_data!B:B)</f>
        <v>Canon</v>
      </c>
      <c r="L6" s="4" t="s">
        <v>15</v>
      </c>
      <c r="M6" s="4">
        <f t="shared" si="0"/>
        <v>1061.0718072289153</v>
      </c>
      <c r="O6" s="4">
        <f t="shared" si="1"/>
        <v>88068.959999999977</v>
      </c>
    </row>
    <row r="7" spans="1:15" x14ac:dyDescent="0.25">
      <c r="A7" s="1">
        <v>45250</v>
      </c>
      <c r="B7" t="s">
        <v>10</v>
      </c>
      <c r="C7" t="s">
        <v>7</v>
      </c>
      <c r="D7" t="s">
        <v>11</v>
      </c>
      <c r="E7">
        <v>1218.3599999999999</v>
      </c>
      <c r="F7">
        <v>12</v>
      </c>
      <c r="G7" s="4" t="str">
        <f>_xlfn.XLOOKUP($B7,supplier_data!A:A,supplier_data!B:B)</f>
        <v>Samsung</v>
      </c>
      <c r="L7" s="4" t="s">
        <v>17</v>
      </c>
      <c r="M7" s="4">
        <f t="shared" si="0"/>
        <v>980.44989898989888</v>
      </c>
      <c r="O7" s="4">
        <f t="shared" si="1"/>
        <v>97064.54</v>
      </c>
    </row>
    <row r="8" spans="1:15" x14ac:dyDescent="0.25">
      <c r="A8" s="1">
        <v>45078</v>
      </c>
      <c r="B8" t="s">
        <v>12</v>
      </c>
      <c r="C8" t="s">
        <v>7</v>
      </c>
      <c r="D8" t="s">
        <v>11</v>
      </c>
      <c r="E8">
        <v>1994.9</v>
      </c>
      <c r="F8">
        <v>38</v>
      </c>
      <c r="G8" s="4" t="str">
        <f>_xlfn.XLOOKUP($B8,supplier_data!A:A,supplier_data!B:B)</f>
        <v>Dell</v>
      </c>
      <c r="L8" s="4" t="s">
        <v>19</v>
      </c>
      <c r="M8" s="4">
        <f t="shared" si="0"/>
        <v>1049.0025471698114</v>
      </c>
      <c r="O8" s="4">
        <f t="shared" si="1"/>
        <v>111194.27</v>
      </c>
    </row>
    <row r="9" spans="1:15" x14ac:dyDescent="0.25">
      <c r="A9" s="1">
        <v>44930</v>
      </c>
      <c r="B9" t="s">
        <v>14</v>
      </c>
      <c r="C9" t="s">
        <v>7</v>
      </c>
      <c r="D9" t="s">
        <v>11</v>
      </c>
      <c r="E9">
        <v>1848.68</v>
      </c>
      <c r="F9">
        <v>7</v>
      </c>
      <c r="G9" s="4" t="str">
        <f>_xlfn.XLOOKUP($B9,supplier_data!A:A,supplier_data!B:B)</f>
        <v>LG</v>
      </c>
      <c r="L9" s="4" t="s">
        <v>20</v>
      </c>
      <c r="M9" s="4">
        <f t="shared" si="0"/>
        <v>1002.0042857142854</v>
      </c>
      <c r="O9" s="4">
        <f t="shared" si="1"/>
        <v>112224.47999999997</v>
      </c>
    </row>
    <row r="10" spans="1:15" x14ac:dyDescent="0.25">
      <c r="A10" s="1">
        <v>45202</v>
      </c>
      <c r="B10" t="s">
        <v>15</v>
      </c>
      <c r="C10" t="s">
        <v>16</v>
      </c>
      <c r="D10" t="s">
        <v>11</v>
      </c>
      <c r="E10">
        <v>1393.54</v>
      </c>
      <c r="F10">
        <v>41</v>
      </c>
      <c r="G10" s="4" t="str">
        <f>_xlfn.XLOOKUP($B10,supplier_data!A:A,supplier_data!B:B)</f>
        <v>Nike</v>
      </c>
      <c r="L10" s="4" t="s">
        <v>21</v>
      </c>
      <c r="M10" s="4">
        <f t="shared" si="0"/>
        <v>1065.0542592592594</v>
      </c>
      <c r="O10" s="4">
        <f t="shared" si="1"/>
        <v>115025.86000000002</v>
      </c>
    </row>
    <row r="11" spans="1:15" x14ac:dyDescent="0.25">
      <c r="A11" s="1">
        <v>45259</v>
      </c>
      <c r="B11" t="s">
        <v>17</v>
      </c>
      <c r="C11" t="s">
        <v>18</v>
      </c>
      <c r="D11" t="s">
        <v>8</v>
      </c>
      <c r="E11">
        <v>413.13</v>
      </c>
      <c r="F11">
        <v>12</v>
      </c>
      <c r="G11" s="4" t="str">
        <f>_xlfn.XLOOKUP($B11,supplier_data!A:A,supplier_data!B:B)</f>
        <v>Fossil</v>
      </c>
      <c r="L11" s="4" t="s">
        <v>22</v>
      </c>
      <c r="M11" s="4">
        <f t="shared" si="0"/>
        <v>1116.025762711864</v>
      </c>
      <c r="O11" s="4">
        <f t="shared" si="1"/>
        <v>131691.03999999995</v>
      </c>
    </row>
    <row r="12" spans="1:15" x14ac:dyDescent="0.25">
      <c r="A12" s="1">
        <v>45071</v>
      </c>
      <c r="B12" t="s">
        <v>19</v>
      </c>
      <c r="C12" t="s">
        <v>7</v>
      </c>
      <c r="D12" t="s">
        <v>9</v>
      </c>
      <c r="E12">
        <v>597.02</v>
      </c>
      <c r="F12">
        <v>4</v>
      </c>
      <c r="G12" s="4" t="str">
        <f>_xlfn.XLOOKUP($B12,supplier_data!A:A,supplier_data!B:B)</f>
        <v>HP</v>
      </c>
    </row>
    <row r="13" spans="1:15" x14ac:dyDescent="0.25">
      <c r="A13" s="1">
        <v>45008</v>
      </c>
      <c r="B13" t="s">
        <v>20</v>
      </c>
      <c r="C13" t="s">
        <v>7</v>
      </c>
      <c r="D13" t="s">
        <v>11</v>
      </c>
      <c r="E13">
        <v>1357.22</v>
      </c>
      <c r="F13">
        <v>36</v>
      </c>
      <c r="G13" s="4" t="str">
        <f>_xlfn.XLOOKUP($B13,supplier_data!A:A,supplier_data!B:B)</f>
        <v>Logitech</v>
      </c>
    </row>
    <row r="14" spans="1:15" x14ac:dyDescent="0.25">
      <c r="A14" s="1">
        <v>45088</v>
      </c>
      <c r="B14" t="s">
        <v>14</v>
      </c>
      <c r="C14" t="s">
        <v>7</v>
      </c>
      <c r="D14" t="s">
        <v>9</v>
      </c>
      <c r="E14">
        <v>1763.24</v>
      </c>
      <c r="F14">
        <v>46</v>
      </c>
      <c r="G14" s="4" t="str">
        <f>_xlfn.XLOOKUP($B14,supplier_data!A:A,supplier_data!B:B)</f>
        <v>LG</v>
      </c>
    </row>
    <row r="15" spans="1:15" x14ac:dyDescent="0.25">
      <c r="A15" s="1">
        <v>45078</v>
      </c>
      <c r="B15" t="s">
        <v>15</v>
      </c>
      <c r="C15" t="s">
        <v>16</v>
      </c>
      <c r="D15" t="s">
        <v>11</v>
      </c>
      <c r="E15">
        <v>218.6</v>
      </c>
      <c r="F15">
        <v>38</v>
      </c>
      <c r="G15" s="4" t="str">
        <f>_xlfn.XLOOKUP($B15,supplier_data!A:A,supplier_data!B:B)</f>
        <v>Nike</v>
      </c>
    </row>
    <row r="16" spans="1:15" x14ac:dyDescent="0.25">
      <c r="A16" s="1">
        <v>45290</v>
      </c>
      <c r="B16" t="s">
        <v>12</v>
      </c>
      <c r="C16" t="s">
        <v>7</v>
      </c>
      <c r="D16" t="s">
        <v>8</v>
      </c>
      <c r="E16">
        <v>1419.46</v>
      </c>
      <c r="F16">
        <v>27</v>
      </c>
      <c r="G16" s="4" t="str">
        <f>_xlfn.XLOOKUP($B16,supplier_data!A:A,supplier_data!B:B)</f>
        <v>Dell</v>
      </c>
    </row>
    <row r="17" spans="1:7" x14ac:dyDescent="0.25">
      <c r="A17" s="1">
        <v>44969</v>
      </c>
      <c r="B17" t="s">
        <v>20</v>
      </c>
      <c r="C17" t="s">
        <v>7</v>
      </c>
      <c r="D17" t="s">
        <v>13</v>
      </c>
      <c r="E17">
        <v>1141.8800000000001</v>
      </c>
      <c r="F17">
        <v>40</v>
      </c>
      <c r="G17" s="4" t="str">
        <f>_xlfn.XLOOKUP($B17,supplier_data!A:A,supplier_data!B:B)</f>
        <v>Logitech</v>
      </c>
    </row>
    <row r="18" spans="1:7" x14ac:dyDescent="0.25">
      <c r="A18" s="1">
        <v>44999</v>
      </c>
      <c r="B18" t="s">
        <v>10</v>
      </c>
      <c r="C18" t="s">
        <v>7</v>
      </c>
      <c r="D18" t="s">
        <v>8</v>
      </c>
      <c r="E18">
        <v>1296.98</v>
      </c>
      <c r="F18">
        <v>16</v>
      </c>
      <c r="G18" s="4" t="str">
        <f>_xlfn.XLOOKUP($B18,supplier_data!A:A,supplier_data!B:B)</f>
        <v>Samsung</v>
      </c>
    </row>
    <row r="19" spans="1:7" x14ac:dyDescent="0.25">
      <c r="A19" s="1">
        <v>45047</v>
      </c>
      <c r="B19" t="s">
        <v>10</v>
      </c>
      <c r="C19" t="s">
        <v>7</v>
      </c>
      <c r="D19" t="s">
        <v>11</v>
      </c>
      <c r="E19">
        <v>1595.81</v>
      </c>
      <c r="F19">
        <v>28</v>
      </c>
      <c r="G19" s="4" t="str">
        <f>_xlfn.XLOOKUP($B19,supplier_data!A:A,supplier_data!B:B)</f>
        <v>Samsung</v>
      </c>
    </row>
    <row r="20" spans="1:7" x14ac:dyDescent="0.25">
      <c r="A20" s="1">
        <v>44997</v>
      </c>
      <c r="B20" t="s">
        <v>14</v>
      </c>
      <c r="C20" t="s">
        <v>7</v>
      </c>
      <c r="D20" t="s">
        <v>9</v>
      </c>
      <c r="E20">
        <v>1037.1500000000001</v>
      </c>
      <c r="F20">
        <v>27</v>
      </c>
      <c r="G20" s="4" t="str">
        <f>_xlfn.XLOOKUP($B20,supplier_data!A:A,supplier_data!B:B)</f>
        <v>LG</v>
      </c>
    </row>
    <row r="21" spans="1:7" x14ac:dyDescent="0.25">
      <c r="A21" s="1">
        <v>45112</v>
      </c>
      <c r="B21" t="s">
        <v>15</v>
      </c>
      <c r="C21" t="s">
        <v>16</v>
      </c>
      <c r="D21" t="s">
        <v>11</v>
      </c>
      <c r="E21">
        <v>1583.73</v>
      </c>
      <c r="F21">
        <v>40</v>
      </c>
      <c r="G21" s="4" t="str">
        <f>_xlfn.XLOOKUP($B21,supplier_data!A:A,supplier_data!B:B)</f>
        <v>Nike</v>
      </c>
    </row>
    <row r="22" spans="1:7" x14ac:dyDescent="0.25">
      <c r="A22" s="1">
        <v>45141</v>
      </c>
      <c r="B22" t="s">
        <v>17</v>
      </c>
      <c r="C22" t="s">
        <v>18</v>
      </c>
      <c r="D22" t="s">
        <v>8</v>
      </c>
      <c r="E22">
        <v>132.33000000000001</v>
      </c>
      <c r="F22">
        <v>26</v>
      </c>
      <c r="G22" s="4" t="str">
        <f>_xlfn.XLOOKUP($B22,supplier_data!A:A,supplier_data!B:B)</f>
        <v>Fossil</v>
      </c>
    </row>
    <row r="23" spans="1:7" x14ac:dyDescent="0.25">
      <c r="A23" s="1">
        <v>45181</v>
      </c>
      <c r="B23" t="s">
        <v>14</v>
      </c>
      <c r="C23" t="s">
        <v>7</v>
      </c>
      <c r="D23" t="s">
        <v>13</v>
      </c>
      <c r="E23">
        <v>1264.47</v>
      </c>
      <c r="F23">
        <v>21</v>
      </c>
      <c r="G23" s="4" t="str">
        <f>_xlfn.XLOOKUP($B23,supplier_data!A:A,supplier_data!B:B)</f>
        <v>LG</v>
      </c>
    </row>
    <row r="24" spans="1:7" x14ac:dyDescent="0.25">
      <c r="A24" s="1">
        <v>45014</v>
      </c>
      <c r="B24" t="s">
        <v>17</v>
      </c>
      <c r="C24" t="s">
        <v>18</v>
      </c>
      <c r="D24" t="s">
        <v>11</v>
      </c>
      <c r="E24">
        <v>1698.19</v>
      </c>
      <c r="F24">
        <v>33</v>
      </c>
      <c r="G24" s="4" t="str">
        <f>_xlfn.XLOOKUP($B24,supplier_data!A:A,supplier_data!B:B)</f>
        <v>Fossil</v>
      </c>
    </row>
    <row r="25" spans="1:7" x14ac:dyDescent="0.25">
      <c r="A25" s="1">
        <v>45057</v>
      </c>
      <c r="B25" t="s">
        <v>21</v>
      </c>
      <c r="C25" t="s">
        <v>7</v>
      </c>
      <c r="D25" t="s">
        <v>13</v>
      </c>
      <c r="E25">
        <v>695.62</v>
      </c>
      <c r="F25">
        <v>16</v>
      </c>
      <c r="G25" s="4" t="str">
        <f>_xlfn.XLOOKUP($B25,supplier_data!A:A,supplier_data!B:B)</f>
        <v>Sony</v>
      </c>
    </row>
    <row r="26" spans="1:7" x14ac:dyDescent="0.25">
      <c r="A26" s="1">
        <v>45253</v>
      </c>
      <c r="B26" t="s">
        <v>15</v>
      </c>
      <c r="C26" t="s">
        <v>16</v>
      </c>
      <c r="D26" t="s">
        <v>13</v>
      </c>
      <c r="E26">
        <v>1499.53</v>
      </c>
      <c r="F26">
        <v>18</v>
      </c>
      <c r="G26" s="4" t="str">
        <f>_xlfn.XLOOKUP($B26,supplier_data!A:A,supplier_data!B:B)</f>
        <v>Nike</v>
      </c>
    </row>
    <row r="27" spans="1:7" x14ac:dyDescent="0.25">
      <c r="A27" s="1">
        <v>45288</v>
      </c>
      <c r="B27" t="s">
        <v>20</v>
      </c>
      <c r="C27" t="s">
        <v>7</v>
      </c>
      <c r="D27" t="s">
        <v>8</v>
      </c>
      <c r="E27">
        <v>790.66</v>
      </c>
      <c r="F27">
        <v>19</v>
      </c>
      <c r="G27" s="4" t="str">
        <f>_xlfn.XLOOKUP($B27,supplier_data!A:A,supplier_data!B:B)</f>
        <v>Logitech</v>
      </c>
    </row>
    <row r="28" spans="1:7" x14ac:dyDescent="0.25">
      <c r="A28" s="1">
        <v>45104</v>
      </c>
      <c r="B28" t="s">
        <v>20</v>
      </c>
      <c r="C28" t="s">
        <v>7</v>
      </c>
      <c r="D28" t="s">
        <v>8</v>
      </c>
      <c r="E28">
        <v>430.58</v>
      </c>
      <c r="F28">
        <v>7</v>
      </c>
      <c r="G28" s="4" t="str">
        <f>_xlfn.XLOOKUP($B28,supplier_data!A:A,supplier_data!B:B)</f>
        <v>Logitech</v>
      </c>
    </row>
    <row r="29" spans="1:7" x14ac:dyDescent="0.25">
      <c r="A29" s="1">
        <v>45031</v>
      </c>
      <c r="B29" t="s">
        <v>21</v>
      </c>
      <c r="C29" t="s">
        <v>7</v>
      </c>
      <c r="D29" t="s">
        <v>11</v>
      </c>
      <c r="E29">
        <v>1827.72</v>
      </c>
      <c r="F29">
        <v>47</v>
      </c>
      <c r="G29" s="4" t="str">
        <f>_xlfn.XLOOKUP($B29,supplier_data!A:A,supplier_data!B:B)</f>
        <v>Sony</v>
      </c>
    </row>
    <row r="30" spans="1:7" x14ac:dyDescent="0.25">
      <c r="A30" s="1">
        <v>45087</v>
      </c>
      <c r="B30" t="s">
        <v>21</v>
      </c>
      <c r="C30" t="s">
        <v>7</v>
      </c>
      <c r="D30" t="s">
        <v>9</v>
      </c>
      <c r="E30">
        <v>1558.27</v>
      </c>
      <c r="F30">
        <v>7</v>
      </c>
      <c r="G30" s="4" t="str">
        <f>_xlfn.XLOOKUP($B30,supplier_data!A:A,supplier_data!B:B)</f>
        <v>Sony</v>
      </c>
    </row>
    <row r="31" spans="1:7" x14ac:dyDescent="0.25">
      <c r="A31" s="1">
        <v>44956</v>
      </c>
      <c r="B31" t="s">
        <v>14</v>
      </c>
      <c r="C31" t="s">
        <v>7</v>
      </c>
      <c r="D31" t="s">
        <v>9</v>
      </c>
      <c r="E31">
        <v>770.46</v>
      </c>
      <c r="F31">
        <v>8</v>
      </c>
      <c r="G31" s="4" t="str">
        <f>_xlfn.XLOOKUP($B31,supplier_data!A:A,supplier_data!B:B)</f>
        <v>LG</v>
      </c>
    </row>
    <row r="32" spans="1:7" x14ac:dyDescent="0.25">
      <c r="A32" s="1">
        <v>45113</v>
      </c>
      <c r="B32" t="s">
        <v>14</v>
      </c>
      <c r="C32" t="s">
        <v>7</v>
      </c>
      <c r="D32" t="s">
        <v>9</v>
      </c>
      <c r="E32">
        <v>165.22</v>
      </c>
      <c r="F32">
        <v>25</v>
      </c>
      <c r="G32" s="4" t="str">
        <f>_xlfn.XLOOKUP($B32,supplier_data!A:A,supplier_data!B:B)</f>
        <v>LG</v>
      </c>
    </row>
    <row r="33" spans="1:7" x14ac:dyDescent="0.25">
      <c r="A33" s="1">
        <v>45066</v>
      </c>
      <c r="B33" t="s">
        <v>6</v>
      </c>
      <c r="C33" t="s">
        <v>7</v>
      </c>
      <c r="D33" t="s">
        <v>13</v>
      </c>
      <c r="E33">
        <v>639</v>
      </c>
      <c r="F33">
        <v>48</v>
      </c>
      <c r="G33" s="4" t="str">
        <f>_xlfn.XLOOKUP($B33,supplier_data!A:A,supplier_data!B:B)</f>
        <v>Canon</v>
      </c>
    </row>
    <row r="34" spans="1:7" x14ac:dyDescent="0.25">
      <c r="A34" s="1">
        <v>44936</v>
      </c>
      <c r="B34" t="s">
        <v>14</v>
      </c>
      <c r="C34" t="s">
        <v>7</v>
      </c>
      <c r="D34" t="s">
        <v>11</v>
      </c>
      <c r="E34">
        <v>1575.06</v>
      </c>
      <c r="F34">
        <v>7</v>
      </c>
      <c r="G34" s="4" t="str">
        <f>_xlfn.XLOOKUP($B34,supplier_data!A:A,supplier_data!B:B)</f>
        <v>LG</v>
      </c>
    </row>
    <row r="35" spans="1:7" x14ac:dyDescent="0.25">
      <c r="A35" s="1">
        <v>45113</v>
      </c>
      <c r="B35" t="s">
        <v>14</v>
      </c>
      <c r="C35" t="s">
        <v>7</v>
      </c>
      <c r="D35" t="s">
        <v>13</v>
      </c>
      <c r="E35">
        <v>1559.64</v>
      </c>
      <c r="F35">
        <v>27</v>
      </c>
      <c r="G35" s="4" t="str">
        <f>_xlfn.XLOOKUP($B35,supplier_data!A:A,supplier_data!B:B)</f>
        <v>LG</v>
      </c>
    </row>
    <row r="36" spans="1:7" x14ac:dyDescent="0.25">
      <c r="A36" s="1">
        <v>45205</v>
      </c>
      <c r="B36" t="s">
        <v>14</v>
      </c>
      <c r="C36" t="s">
        <v>7</v>
      </c>
      <c r="D36" t="s">
        <v>9</v>
      </c>
      <c r="E36">
        <v>1501.74</v>
      </c>
      <c r="F36">
        <v>12</v>
      </c>
      <c r="G36" s="4" t="str">
        <f>_xlfn.XLOOKUP($B36,supplier_data!A:A,supplier_data!B:B)</f>
        <v>LG</v>
      </c>
    </row>
    <row r="37" spans="1:7" x14ac:dyDescent="0.25">
      <c r="A37" s="1">
        <v>45138</v>
      </c>
      <c r="B37" t="s">
        <v>12</v>
      </c>
      <c r="C37" t="s">
        <v>7</v>
      </c>
      <c r="D37" t="s">
        <v>9</v>
      </c>
      <c r="E37">
        <v>1425.01</v>
      </c>
      <c r="F37">
        <v>4</v>
      </c>
      <c r="G37" s="4" t="str">
        <f>_xlfn.XLOOKUP($B37,supplier_data!A:A,supplier_data!B:B)</f>
        <v>Dell</v>
      </c>
    </row>
    <row r="38" spans="1:7" x14ac:dyDescent="0.25">
      <c r="A38" s="1">
        <v>44987</v>
      </c>
      <c r="B38" t="s">
        <v>14</v>
      </c>
      <c r="C38" t="s">
        <v>7</v>
      </c>
      <c r="D38" t="s">
        <v>8</v>
      </c>
      <c r="E38">
        <v>1900.09</v>
      </c>
      <c r="F38">
        <v>40</v>
      </c>
      <c r="G38" s="4" t="str">
        <f>_xlfn.XLOOKUP($B38,supplier_data!A:A,supplier_data!B:B)</f>
        <v>LG</v>
      </c>
    </row>
    <row r="39" spans="1:7" x14ac:dyDescent="0.25">
      <c r="A39" s="1">
        <v>45057</v>
      </c>
      <c r="B39" t="s">
        <v>10</v>
      </c>
      <c r="C39" t="s">
        <v>7</v>
      </c>
      <c r="D39" t="s">
        <v>11</v>
      </c>
      <c r="E39">
        <v>1011.16</v>
      </c>
      <c r="F39">
        <v>26</v>
      </c>
      <c r="G39" s="4" t="str">
        <f>_xlfn.XLOOKUP($B39,supplier_data!A:A,supplier_data!B:B)</f>
        <v>Samsung</v>
      </c>
    </row>
    <row r="40" spans="1:7" x14ac:dyDescent="0.25">
      <c r="A40" s="1">
        <v>45088</v>
      </c>
      <c r="B40" t="s">
        <v>6</v>
      </c>
      <c r="C40" t="s">
        <v>7</v>
      </c>
      <c r="D40" t="s">
        <v>8</v>
      </c>
      <c r="E40">
        <v>1043.58</v>
      </c>
      <c r="F40">
        <v>19</v>
      </c>
      <c r="G40" s="4" t="str">
        <f>_xlfn.XLOOKUP($B40,supplier_data!A:A,supplier_data!B:B)</f>
        <v>Canon</v>
      </c>
    </row>
    <row r="41" spans="1:7" x14ac:dyDescent="0.25">
      <c r="A41" s="1">
        <v>44944</v>
      </c>
      <c r="B41" t="s">
        <v>6</v>
      </c>
      <c r="C41" t="s">
        <v>7</v>
      </c>
      <c r="D41" t="s">
        <v>11</v>
      </c>
      <c r="E41">
        <v>1552.7</v>
      </c>
      <c r="F41">
        <v>18</v>
      </c>
      <c r="G41" s="4" t="str">
        <f>_xlfn.XLOOKUP($B41,supplier_data!A:A,supplier_data!B:B)</f>
        <v>Canon</v>
      </c>
    </row>
    <row r="42" spans="1:7" x14ac:dyDescent="0.25">
      <c r="A42" s="1">
        <v>45153</v>
      </c>
      <c r="B42" t="s">
        <v>10</v>
      </c>
      <c r="C42" t="s">
        <v>7</v>
      </c>
      <c r="D42" t="s">
        <v>8</v>
      </c>
      <c r="E42">
        <v>962.99</v>
      </c>
      <c r="F42">
        <v>44</v>
      </c>
      <c r="G42" s="4" t="str">
        <f>_xlfn.XLOOKUP($B42,supplier_data!A:A,supplier_data!B:B)</f>
        <v>Samsung</v>
      </c>
    </row>
    <row r="43" spans="1:7" x14ac:dyDescent="0.25">
      <c r="A43" s="1">
        <v>44939</v>
      </c>
      <c r="B43" t="s">
        <v>6</v>
      </c>
      <c r="C43" t="s">
        <v>7</v>
      </c>
      <c r="D43" t="s">
        <v>13</v>
      </c>
      <c r="E43">
        <v>850.47</v>
      </c>
      <c r="F43">
        <v>46</v>
      </c>
      <c r="G43" s="4" t="str">
        <f>_xlfn.XLOOKUP($B43,supplier_data!A:A,supplier_data!B:B)</f>
        <v>Canon</v>
      </c>
    </row>
    <row r="44" spans="1:7" x14ac:dyDescent="0.25">
      <c r="A44" s="1">
        <v>44937</v>
      </c>
      <c r="B44" t="s">
        <v>19</v>
      </c>
      <c r="C44" t="s">
        <v>7</v>
      </c>
      <c r="D44" t="s">
        <v>8</v>
      </c>
      <c r="E44">
        <v>741.73</v>
      </c>
      <c r="F44">
        <v>15</v>
      </c>
      <c r="G44" s="4" t="str">
        <f>_xlfn.XLOOKUP($B44,supplier_data!A:A,supplier_data!B:B)</f>
        <v>HP</v>
      </c>
    </row>
    <row r="45" spans="1:7" x14ac:dyDescent="0.25">
      <c r="A45" s="1">
        <v>45057</v>
      </c>
      <c r="B45" t="s">
        <v>15</v>
      </c>
      <c r="C45" t="s">
        <v>16</v>
      </c>
      <c r="D45" t="s">
        <v>13</v>
      </c>
      <c r="E45">
        <v>1689.47</v>
      </c>
      <c r="F45">
        <v>5</v>
      </c>
      <c r="G45" s="4" t="str">
        <f>_xlfn.XLOOKUP($B45,supplier_data!A:A,supplier_data!B:B)</f>
        <v>Nike</v>
      </c>
    </row>
    <row r="46" spans="1:7" x14ac:dyDescent="0.25">
      <c r="A46" s="1">
        <v>44998</v>
      </c>
      <c r="B46" t="s">
        <v>22</v>
      </c>
      <c r="C46" t="s">
        <v>7</v>
      </c>
      <c r="D46" t="s">
        <v>11</v>
      </c>
      <c r="E46">
        <v>598.41999999999996</v>
      </c>
      <c r="F46">
        <v>37</v>
      </c>
      <c r="G46" s="4" t="str">
        <f>_xlfn.XLOOKUP($B46,supplier_data!A:A,supplier_data!B:B)</f>
        <v>Apple</v>
      </c>
    </row>
    <row r="47" spans="1:7" x14ac:dyDescent="0.25">
      <c r="A47" s="1">
        <v>45086</v>
      </c>
      <c r="B47" t="s">
        <v>6</v>
      </c>
      <c r="C47" t="s">
        <v>7</v>
      </c>
      <c r="D47" t="s">
        <v>13</v>
      </c>
      <c r="E47">
        <v>1587.24</v>
      </c>
      <c r="F47">
        <v>8</v>
      </c>
      <c r="G47" s="4" t="str">
        <f>_xlfn.XLOOKUP($B47,supplier_data!A:A,supplier_data!B:B)</f>
        <v>Canon</v>
      </c>
    </row>
    <row r="48" spans="1:7" x14ac:dyDescent="0.25">
      <c r="A48" s="1">
        <v>45005</v>
      </c>
      <c r="B48" t="s">
        <v>21</v>
      </c>
      <c r="C48" t="s">
        <v>7</v>
      </c>
      <c r="D48" t="s">
        <v>11</v>
      </c>
      <c r="E48">
        <v>1617.87</v>
      </c>
      <c r="F48">
        <v>10</v>
      </c>
      <c r="G48" s="4" t="str">
        <f>_xlfn.XLOOKUP($B48,supplier_data!A:A,supplier_data!B:B)</f>
        <v>Sony</v>
      </c>
    </row>
    <row r="49" spans="1:7" x14ac:dyDescent="0.25">
      <c r="A49" s="1">
        <v>45283</v>
      </c>
      <c r="B49" t="s">
        <v>21</v>
      </c>
      <c r="C49" t="s">
        <v>7</v>
      </c>
      <c r="D49" t="s">
        <v>9</v>
      </c>
      <c r="E49">
        <v>732.72</v>
      </c>
      <c r="F49">
        <v>38</v>
      </c>
      <c r="G49" s="4" t="str">
        <f>_xlfn.XLOOKUP($B49,supplier_data!A:A,supplier_data!B:B)</f>
        <v>Sony</v>
      </c>
    </row>
    <row r="50" spans="1:7" x14ac:dyDescent="0.25">
      <c r="A50" s="1">
        <v>45207</v>
      </c>
      <c r="B50" t="s">
        <v>19</v>
      </c>
      <c r="C50" t="s">
        <v>7</v>
      </c>
      <c r="D50" t="s">
        <v>8</v>
      </c>
      <c r="E50">
        <v>1479.72</v>
      </c>
      <c r="F50">
        <v>35</v>
      </c>
      <c r="G50" s="4" t="str">
        <f>_xlfn.XLOOKUP($B50,supplier_data!A:A,supplier_data!B:B)</f>
        <v>HP</v>
      </c>
    </row>
    <row r="51" spans="1:7" x14ac:dyDescent="0.25">
      <c r="A51" s="1">
        <v>45144</v>
      </c>
      <c r="B51" t="s">
        <v>19</v>
      </c>
      <c r="C51" t="s">
        <v>7</v>
      </c>
      <c r="D51" t="s">
        <v>11</v>
      </c>
      <c r="E51">
        <v>1094.3699999999999</v>
      </c>
      <c r="F51">
        <v>20</v>
      </c>
      <c r="G51" s="4" t="str">
        <f>_xlfn.XLOOKUP($B51,supplier_data!A:A,supplier_data!B:B)</f>
        <v>HP</v>
      </c>
    </row>
    <row r="52" spans="1:7" x14ac:dyDescent="0.25">
      <c r="A52" s="1">
        <v>45089</v>
      </c>
      <c r="B52" t="s">
        <v>21</v>
      </c>
      <c r="C52" t="s">
        <v>7</v>
      </c>
      <c r="D52" t="s">
        <v>11</v>
      </c>
      <c r="E52">
        <v>448.35</v>
      </c>
      <c r="F52">
        <v>33</v>
      </c>
      <c r="G52" s="4" t="str">
        <f>_xlfn.XLOOKUP($B52,supplier_data!A:A,supplier_data!B:B)</f>
        <v>Sony</v>
      </c>
    </row>
    <row r="53" spans="1:7" x14ac:dyDescent="0.25">
      <c r="A53" s="1">
        <v>44990</v>
      </c>
      <c r="B53" t="s">
        <v>10</v>
      </c>
      <c r="C53" t="s">
        <v>7</v>
      </c>
      <c r="D53" t="s">
        <v>13</v>
      </c>
      <c r="E53">
        <v>513.37</v>
      </c>
      <c r="F53">
        <v>10</v>
      </c>
      <c r="G53" s="4" t="str">
        <f>_xlfn.XLOOKUP($B53,supplier_data!A:A,supplier_data!B:B)</f>
        <v>Samsung</v>
      </c>
    </row>
    <row r="54" spans="1:7" x14ac:dyDescent="0.25">
      <c r="A54" s="1">
        <v>45218</v>
      </c>
      <c r="B54" t="s">
        <v>15</v>
      </c>
      <c r="C54" t="s">
        <v>16</v>
      </c>
      <c r="D54" t="s">
        <v>8</v>
      </c>
      <c r="E54">
        <v>1274.99</v>
      </c>
      <c r="F54">
        <v>12</v>
      </c>
      <c r="G54" s="4" t="str">
        <f>_xlfn.XLOOKUP($B54,supplier_data!A:A,supplier_data!B:B)</f>
        <v>Nike</v>
      </c>
    </row>
    <row r="55" spans="1:7" x14ac:dyDescent="0.25">
      <c r="A55" s="1">
        <v>44947</v>
      </c>
      <c r="B55" t="s">
        <v>22</v>
      </c>
      <c r="C55" t="s">
        <v>7</v>
      </c>
      <c r="D55" t="s">
        <v>11</v>
      </c>
      <c r="E55">
        <v>774.68</v>
      </c>
      <c r="F55">
        <v>12</v>
      </c>
      <c r="G55" s="4" t="str">
        <f>_xlfn.XLOOKUP($B55,supplier_data!A:A,supplier_data!B:B)</f>
        <v>Apple</v>
      </c>
    </row>
    <row r="56" spans="1:7" x14ac:dyDescent="0.25">
      <c r="A56" s="1">
        <v>45101</v>
      </c>
      <c r="B56" t="s">
        <v>22</v>
      </c>
      <c r="C56" t="s">
        <v>7</v>
      </c>
      <c r="D56" t="s">
        <v>13</v>
      </c>
      <c r="E56">
        <v>1446.75</v>
      </c>
      <c r="F56">
        <v>21</v>
      </c>
      <c r="G56" s="4" t="str">
        <f>_xlfn.XLOOKUP($B56,supplier_data!A:A,supplier_data!B:B)</f>
        <v>Apple</v>
      </c>
    </row>
    <row r="57" spans="1:7" x14ac:dyDescent="0.25">
      <c r="A57" s="1">
        <v>45123</v>
      </c>
      <c r="B57" t="s">
        <v>21</v>
      </c>
      <c r="C57" t="s">
        <v>7</v>
      </c>
      <c r="D57" t="s">
        <v>11</v>
      </c>
      <c r="E57">
        <v>106.27</v>
      </c>
      <c r="F57">
        <v>39</v>
      </c>
      <c r="G57" s="4" t="str">
        <f>_xlfn.XLOOKUP($B57,supplier_data!A:A,supplier_data!B:B)</f>
        <v>Sony</v>
      </c>
    </row>
    <row r="58" spans="1:7" x14ac:dyDescent="0.25">
      <c r="A58" s="1">
        <v>45205</v>
      </c>
      <c r="B58" t="s">
        <v>15</v>
      </c>
      <c r="C58" t="s">
        <v>16</v>
      </c>
      <c r="D58" t="s">
        <v>11</v>
      </c>
      <c r="E58">
        <v>1332.99</v>
      </c>
      <c r="F58">
        <v>50</v>
      </c>
      <c r="G58" s="4" t="str">
        <f>_xlfn.XLOOKUP($B58,supplier_data!A:A,supplier_data!B:B)</f>
        <v>Nike</v>
      </c>
    </row>
    <row r="59" spans="1:7" x14ac:dyDescent="0.25">
      <c r="A59" s="1">
        <v>45082</v>
      </c>
      <c r="B59" t="s">
        <v>22</v>
      </c>
      <c r="C59" t="s">
        <v>7</v>
      </c>
      <c r="D59" t="s">
        <v>11</v>
      </c>
      <c r="E59">
        <v>550.79999999999995</v>
      </c>
      <c r="F59">
        <v>14</v>
      </c>
      <c r="G59" s="4" t="str">
        <f>_xlfn.XLOOKUP($B59,supplier_data!A:A,supplier_data!B:B)</f>
        <v>Apple</v>
      </c>
    </row>
    <row r="60" spans="1:7" x14ac:dyDescent="0.25">
      <c r="A60" s="1">
        <v>45143</v>
      </c>
      <c r="B60" t="s">
        <v>19</v>
      </c>
      <c r="C60" t="s">
        <v>7</v>
      </c>
      <c r="D60" t="s">
        <v>11</v>
      </c>
      <c r="E60">
        <v>366.51</v>
      </c>
      <c r="F60">
        <v>8</v>
      </c>
      <c r="G60" s="4" t="str">
        <f>_xlfn.XLOOKUP($B60,supplier_data!A:A,supplier_data!B:B)</f>
        <v>HP</v>
      </c>
    </row>
    <row r="61" spans="1:7" x14ac:dyDescent="0.25">
      <c r="A61" s="1">
        <v>45292</v>
      </c>
      <c r="B61" t="s">
        <v>19</v>
      </c>
      <c r="C61" t="s">
        <v>7</v>
      </c>
      <c r="D61" t="s">
        <v>8</v>
      </c>
      <c r="E61">
        <v>1410.5</v>
      </c>
      <c r="F61">
        <v>31</v>
      </c>
      <c r="G61" s="4" t="str">
        <f>_xlfn.XLOOKUP($B61,supplier_data!A:A,supplier_data!B:B)</f>
        <v>HP</v>
      </c>
    </row>
    <row r="62" spans="1:7" x14ac:dyDescent="0.25">
      <c r="A62" s="1">
        <v>45087</v>
      </c>
      <c r="B62" t="s">
        <v>20</v>
      </c>
      <c r="C62" t="s">
        <v>7</v>
      </c>
      <c r="D62" t="s">
        <v>9</v>
      </c>
      <c r="E62">
        <v>485.91</v>
      </c>
      <c r="F62">
        <v>17</v>
      </c>
      <c r="G62" s="4" t="str">
        <f>_xlfn.XLOOKUP($B62,supplier_data!A:A,supplier_data!B:B)</f>
        <v>Logitech</v>
      </c>
    </row>
    <row r="63" spans="1:7" x14ac:dyDescent="0.25">
      <c r="A63" s="1">
        <v>45167</v>
      </c>
      <c r="B63" t="s">
        <v>22</v>
      </c>
      <c r="C63" t="s">
        <v>7</v>
      </c>
      <c r="D63" t="s">
        <v>8</v>
      </c>
      <c r="E63">
        <v>826.24</v>
      </c>
      <c r="F63">
        <v>29</v>
      </c>
      <c r="G63" s="4" t="str">
        <f>_xlfn.XLOOKUP($B63,supplier_data!A:A,supplier_data!B:B)</f>
        <v>Apple</v>
      </c>
    </row>
    <row r="64" spans="1:7" x14ac:dyDescent="0.25">
      <c r="A64" s="1">
        <v>45120</v>
      </c>
      <c r="B64" t="s">
        <v>10</v>
      </c>
      <c r="C64" t="s">
        <v>7</v>
      </c>
      <c r="D64" t="s">
        <v>13</v>
      </c>
      <c r="E64">
        <v>1478.73</v>
      </c>
      <c r="F64">
        <v>7</v>
      </c>
      <c r="G64" s="4" t="str">
        <f>_xlfn.XLOOKUP($B64,supplier_data!A:A,supplier_data!B:B)</f>
        <v>Samsung</v>
      </c>
    </row>
    <row r="65" spans="1:7" x14ac:dyDescent="0.25">
      <c r="A65" s="1">
        <v>45161</v>
      </c>
      <c r="B65" t="s">
        <v>21</v>
      </c>
      <c r="C65" t="s">
        <v>7</v>
      </c>
      <c r="D65" t="s">
        <v>13</v>
      </c>
      <c r="E65">
        <v>167.64</v>
      </c>
      <c r="F65">
        <v>27</v>
      </c>
      <c r="G65" s="4" t="str">
        <f>_xlfn.XLOOKUP($B65,supplier_data!A:A,supplier_data!B:B)</f>
        <v>Sony</v>
      </c>
    </row>
    <row r="66" spans="1:7" x14ac:dyDescent="0.25">
      <c r="A66" s="1">
        <v>45036</v>
      </c>
      <c r="B66" t="s">
        <v>12</v>
      </c>
      <c r="C66" t="s">
        <v>7</v>
      </c>
      <c r="D66" t="s">
        <v>9</v>
      </c>
      <c r="E66">
        <v>1977.66</v>
      </c>
      <c r="F66">
        <v>1</v>
      </c>
      <c r="G66" s="4" t="str">
        <f>_xlfn.XLOOKUP($B66,supplier_data!A:A,supplier_data!B:B)</f>
        <v>Dell</v>
      </c>
    </row>
    <row r="67" spans="1:7" x14ac:dyDescent="0.25">
      <c r="A67" s="1">
        <v>44965</v>
      </c>
      <c r="B67" t="s">
        <v>21</v>
      </c>
      <c r="C67" t="s">
        <v>7</v>
      </c>
      <c r="D67" t="s">
        <v>13</v>
      </c>
      <c r="E67">
        <v>1816.38</v>
      </c>
      <c r="F67">
        <v>34</v>
      </c>
      <c r="G67" s="4" t="str">
        <f>_xlfn.XLOOKUP($B67,supplier_data!A:A,supplier_data!B:B)</f>
        <v>Sony</v>
      </c>
    </row>
    <row r="68" spans="1:7" x14ac:dyDescent="0.25">
      <c r="A68" s="1">
        <v>45059</v>
      </c>
      <c r="B68" t="s">
        <v>17</v>
      </c>
      <c r="C68" t="s">
        <v>18</v>
      </c>
      <c r="D68" t="s">
        <v>13</v>
      </c>
      <c r="E68">
        <v>695.32</v>
      </c>
      <c r="F68">
        <v>46</v>
      </c>
      <c r="G68" s="4" t="str">
        <f>_xlfn.XLOOKUP($B68,supplier_data!A:A,supplier_data!B:B)</f>
        <v>Fossil</v>
      </c>
    </row>
    <row r="69" spans="1:7" x14ac:dyDescent="0.25">
      <c r="A69" s="1">
        <v>44988</v>
      </c>
      <c r="B69" t="s">
        <v>12</v>
      </c>
      <c r="C69" t="s">
        <v>7</v>
      </c>
      <c r="D69" t="s">
        <v>9</v>
      </c>
      <c r="E69">
        <v>192.05</v>
      </c>
      <c r="F69">
        <v>14</v>
      </c>
      <c r="G69" s="4" t="str">
        <f>_xlfn.XLOOKUP($B69,supplier_data!A:A,supplier_data!B:B)</f>
        <v>Dell</v>
      </c>
    </row>
    <row r="70" spans="1:7" x14ac:dyDescent="0.25">
      <c r="A70" s="1">
        <v>45103</v>
      </c>
      <c r="B70" t="s">
        <v>6</v>
      </c>
      <c r="C70" t="s">
        <v>7</v>
      </c>
      <c r="D70" t="s">
        <v>9</v>
      </c>
      <c r="E70">
        <v>709.08</v>
      </c>
      <c r="F70">
        <v>9</v>
      </c>
      <c r="G70" s="4" t="str">
        <f>_xlfn.XLOOKUP($B70,supplier_data!A:A,supplier_data!B:B)</f>
        <v>Canon</v>
      </c>
    </row>
    <row r="71" spans="1:7" x14ac:dyDescent="0.25">
      <c r="A71" s="1">
        <v>45290</v>
      </c>
      <c r="B71" t="s">
        <v>10</v>
      </c>
      <c r="C71" t="s">
        <v>7</v>
      </c>
      <c r="D71" t="s">
        <v>13</v>
      </c>
      <c r="E71">
        <v>1970.38</v>
      </c>
      <c r="F71">
        <v>26</v>
      </c>
      <c r="G71" s="4" t="str">
        <f>_xlfn.XLOOKUP($B71,supplier_data!A:A,supplier_data!B:B)</f>
        <v>Samsung</v>
      </c>
    </row>
    <row r="72" spans="1:7" x14ac:dyDescent="0.25">
      <c r="A72" s="1">
        <v>44992</v>
      </c>
      <c r="B72" t="s">
        <v>22</v>
      </c>
      <c r="C72" t="s">
        <v>7</v>
      </c>
      <c r="D72" t="s">
        <v>13</v>
      </c>
      <c r="E72">
        <v>719.85</v>
      </c>
      <c r="F72">
        <v>30</v>
      </c>
      <c r="G72" s="4" t="str">
        <f>_xlfn.XLOOKUP($B72,supplier_data!A:A,supplier_data!B:B)</f>
        <v>Apple</v>
      </c>
    </row>
    <row r="73" spans="1:7" x14ac:dyDescent="0.25">
      <c r="A73" s="1">
        <v>45141</v>
      </c>
      <c r="B73" t="s">
        <v>6</v>
      </c>
      <c r="C73" t="s">
        <v>7</v>
      </c>
      <c r="D73" t="s">
        <v>11</v>
      </c>
      <c r="E73">
        <v>1316.5</v>
      </c>
      <c r="F73">
        <v>1</v>
      </c>
      <c r="G73" s="4" t="str">
        <f>_xlfn.XLOOKUP($B73,supplier_data!A:A,supplier_data!B:B)</f>
        <v>Canon</v>
      </c>
    </row>
    <row r="74" spans="1:7" x14ac:dyDescent="0.25">
      <c r="A74" s="1">
        <v>45121</v>
      </c>
      <c r="B74" t="s">
        <v>21</v>
      </c>
      <c r="C74" t="s">
        <v>7</v>
      </c>
      <c r="D74" t="s">
        <v>11</v>
      </c>
      <c r="E74">
        <v>1865.08</v>
      </c>
      <c r="F74">
        <v>1</v>
      </c>
      <c r="G74" s="4" t="str">
        <f>_xlfn.XLOOKUP($B74,supplier_data!A:A,supplier_data!B:B)</f>
        <v>Sony</v>
      </c>
    </row>
    <row r="75" spans="1:7" x14ac:dyDescent="0.25">
      <c r="A75" s="1">
        <v>45135</v>
      </c>
      <c r="B75" t="s">
        <v>19</v>
      </c>
      <c r="C75" t="s">
        <v>7</v>
      </c>
      <c r="D75" t="s">
        <v>8</v>
      </c>
      <c r="E75">
        <v>1151.22</v>
      </c>
      <c r="F75">
        <v>21</v>
      </c>
      <c r="G75" s="4" t="str">
        <f>_xlfn.XLOOKUP($B75,supplier_data!A:A,supplier_data!B:B)</f>
        <v>HP</v>
      </c>
    </row>
    <row r="76" spans="1:7" x14ac:dyDescent="0.25">
      <c r="A76" s="1">
        <v>44995</v>
      </c>
      <c r="B76" t="s">
        <v>21</v>
      </c>
      <c r="C76" t="s">
        <v>7</v>
      </c>
      <c r="D76" t="s">
        <v>11</v>
      </c>
      <c r="E76">
        <v>1388.94</v>
      </c>
      <c r="F76">
        <v>22</v>
      </c>
      <c r="G76" s="4" t="str">
        <f>_xlfn.XLOOKUP($B76,supplier_data!A:A,supplier_data!B:B)</f>
        <v>Sony</v>
      </c>
    </row>
    <row r="77" spans="1:7" x14ac:dyDescent="0.25">
      <c r="A77" s="1">
        <v>44928</v>
      </c>
      <c r="B77" t="s">
        <v>14</v>
      </c>
      <c r="C77" t="s">
        <v>7</v>
      </c>
      <c r="D77" t="s">
        <v>9</v>
      </c>
      <c r="E77">
        <v>623.32000000000005</v>
      </c>
      <c r="F77">
        <v>37</v>
      </c>
      <c r="G77" s="4" t="str">
        <f>_xlfn.XLOOKUP($B77,supplier_data!A:A,supplier_data!B:B)</f>
        <v>LG</v>
      </c>
    </row>
    <row r="78" spans="1:7" x14ac:dyDescent="0.25">
      <c r="A78" s="1">
        <v>44937</v>
      </c>
      <c r="B78" t="s">
        <v>10</v>
      </c>
      <c r="C78" t="s">
        <v>7</v>
      </c>
      <c r="D78" t="s">
        <v>13</v>
      </c>
      <c r="E78">
        <v>1737.88</v>
      </c>
      <c r="F78">
        <v>43</v>
      </c>
      <c r="G78" s="4" t="str">
        <f>_xlfn.XLOOKUP($B78,supplier_data!A:A,supplier_data!B:B)</f>
        <v>Samsung</v>
      </c>
    </row>
    <row r="79" spans="1:7" x14ac:dyDescent="0.25">
      <c r="A79" s="1">
        <v>44958</v>
      </c>
      <c r="B79" t="s">
        <v>6</v>
      </c>
      <c r="C79" t="s">
        <v>7</v>
      </c>
      <c r="D79" t="s">
        <v>8</v>
      </c>
      <c r="E79">
        <v>1923.68</v>
      </c>
      <c r="F79">
        <v>5</v>
      </c>
      <c r="G79" s="4" t="str">
        <f>_xlfn.XLOOKUP($B79,supplier_data!A:A,supplier_data!B:B)</f>
        <v>Canon</v>
      </c>
    </row>
    <row r="80" spans="1:7" x14ac:dyDescent="0.25">
      <c r="A80" s="1">
        <v>45067</v>
      </c>
      <c r="B80" t="s">
        <v>20</v>
      </c>
      <c r="C80" t="s">
        <v>7</v>
      </c>
      <c r="D80" t="s">
        <v>9</v>
      </c>
      <c r="E80">
        <v>599.91</v>
      </c>
      <c r="F80">
        <v>28</v>
      </c>
      <c r="G80" s="4" t="str">
        <f>_xlfn.XLOOKUP($B80,supplier_data!A:A,supplier_data!B:B)</f>
        <v>Logitech</v>
      </c>
    </row>
    <row r="81" spans="1:7" x14ac:dyDescent="0.25">
      <c r="A81" s="1">
        <v>44949</v>
      </c>
      <c r="B81" t="s">
        <v>22</v>
      </c>
      <c r="C81" t="s">
        <v>7</v>
      </c>
      <c r="D81" t="s">
        <v>8</v>
      </c>
      <c r="E81">
        <v>1425.69</v>
      </c>
      <c r="F81">
        <v>19</v>
      </c>
      <c r="G81" s="4" t="str">
        <f>_xlfn.XLOOKUP($B81,supplier_data!A:A,supplier_data!B:B)</f>
        <v>Apple</v>
      </c>
    </row>
    <row r="82" spans="1:7" x14ac:dyDescent="0.25">
      <c r="A82" s="1">
        <v>44997</v>
      </c>
      <c r="B82" t="s">
        <v>10</v>
      </c>
      <c r="C82" t="s">
        <v>7</v>
      </c>
      <c r="D82" t="s">
        <v>9</v>
      </c>
      <c r="E82">
        <v>552.54</v>
      </c>
      <c r="F82">
        <v>27</v>
      </c>
      <c r="G82" s="4" t="str">
        <f>_xlfn.XLOOKUP($B82,supplier_data!A:A,supplier_data!B:B)</f>
        <v>Samsung</v>
      </c>
    </row>
    <row r="83" spans="1:7" x14ac:dyDescent="0.25">
      <c r="A83" s="1">
        <v>44987</v>
      </c>
      <c r="B83" t="s">
        <v>21</v>
      </c>
      <c r="C83" t="s">
        <v>7</v>
      </c>
      <c r="D83" t="s">
        <v>11</v>
      </c>
      <c r="E83">
        <v>1653.34</v>
      </c>
      <c r="F83">
        <v>39</v>
      </c>
      <c r="G83" s="4" t="str">
        <f>_xlfn.XLOOKUP($B83,supplier_data!A:A,supplier_data!B:B)</f>
        <v>Sony</v>
      </c>
    </row>
    <row r="84" spans="1:7" x14ac:dyDescent="0.25">
      <c r="A84" s="1">
        <v>45071</v>
      </c>
      <c r="B84" t="s">
        <v>12</v>
      </c>
      <c r="C84" t="s">
        <v>7</v>
      </c>
      <c r="D84" t="s">
        <v>11</v>
      </c>
      <c r="E84">
        <v>1371.28</v>
      </c>
      <c r="F84">
        <v>45</v>
      </c>
      <c r="G84" s="4" t="str">
        <f>_xlfn.XLOOKUP($B84,supplier_data!A:A,supplier_data!B:B)</f>
        <v>Dell</v>
      </c>
    </row>
    <row r="85" spans="1:7" x14ac:dyDescent="0.25">
      <c r="A85" s="1">
        <v>45227</v>
      </c>
      <c r="B85" t="s">
        <v>15</v>
      </c>
      <c r="C85" t="s">
        <v>16</v>
      </c>
      <c r="D85" t="s">
        <v>11</v>
      </c>
      <c r="E85">
        <v>911.93</v>
      </c>
      <c r="F85">
        <v>20</v>
      </c>
      <c r="G85" s="4" t="str">
        <f>_xlfn.XLOOKUP($B85,supplier_data!A:A,supplier_data!B:B)</f>
        <v>Nike</v>
      </c>
    </row>
    <row r="86" spans="1:7" x14ac:dyDescent="0.25">
      <c r="A86" s="1">
        <v>45279</v>
      </c>
      <c r="B86" t="s">
        <v>20</v>
      </c>
      <c r="C86" t="s">
        <v>7</v>
      </c>
      <c r="D86" t="s">
        <v>13</v>
      </c>
      <c r="E86">
        <v>316.39</v>
      </c>
      <c r="F86">
        <v>29</v>
      </c>
      <c r="G86" s="4" t="str">
        <f>_xlfn.XLOOKUP($B86,supplier_data!A:A,supplier_data!B:B)</f>
        <v>Logitech</v>
      </c>
    </row>
    <row r="87" spans="1:7" x14ac:dyDescent="0.25">
      <c r="A87" s="1">
        <v>45287</v>
      </c>
      <c r="B87" t="s">
        <v>19</v>
      </c>
      <c r="C87" t="s">
        <v>7</v>
      </c>
      <c r="D87" t="s">
        <v>8</v>
      </c>
      <c r="E87">
        <v>904.63</v>
      </c>
      <c r="F87">
        <v>36</v>
      </c>
      <c r="G87" s="4" t="str">
        <f>_xlfn.XLOOKUP($B87,supplier_data!A:A,supplier_data!B:B)</f>
        <v>HP</v>
      </c>
    </row>
    <row r="88" spans="1:7" x14ac:dyDescent="0.25">
      <c r="A88" s="1">
        <v>45158</v>
      </c>
      <c r="B88" t="s">
        <v>19</v>
      </c>
      <c r="C88" t="s">
        <v>7</v>
      </c>
      <c r="D88" t="s">
        <v>13</v>
      </c>
      <c r="E88">
        <v>1587.78</v>
      </c>
      <c r="F88">
        <v>1</v>
      </c>
      <c r="G88" s="4" t="str">
        <f>_xlfn.XLOOKUP($B88,supplier_data!A:A,supplier_data!B:B)</f>
        <v>HP</v>
      </c>
    </row>
    <row r="89" spans="1:7" x14ac:dyDescent="0.25">
      <c r="A89" s="1">
        <v>44928</v>
      </c>
      <c r="B89" t="s">
        <v>22</v>
      </c>
      <c r="C89" t="s">
        <v>7</v>
      </c>
      <c r="D89" t="s">
        <v>8</v>
      </c>
      <c r="E89">
        <v>367.82</v>
      </c>
      <c r="F89">
        <v>32</v>
      </c>
      <c r="G89" s="4" t="str">
        <f>_xlfn.XLOOKUP($B89,supplier_data!A:A,supplier_data!B:B)</f>
        <v>Apple</v>
      </c>
    </row>
    <row r="90" spans="1:7" x14ac:dyDescent="0.25">
      <c r="A90" s="1">
        <v>44982</v>
      </c>
      <c r="B90" t="s">
        <v>12</v>
      </c>
      <c r="C90" t="s">
        <v>7</v>
      </c>
      <c r="D90" t="s">
        <v>8</v>
      </c>
      <c r="E90">
        <v>1980.92</v>
      </c>
      <c r="F90">
        <v>50</v>
      </c>
      <c r="G90" s="4" t="str">
        <f>_xlfn.XLOOKUP($B90,supplier_data!A:A,supplier_data!B:B)</f>
        <v>Dell</v>
      </c>
    </row>
    <row r="91" spans="1:7" x14ac:dyDescent="0.25">
      <c r="A91" s="1">
        <v>45283</v>
      </c>
      <c r="B91" t="s">
        <v>12</v>
      </c>
      <c r="C91" t="s">
        <v>7</v>
      </c>
      <c r="D91" t="s">
        <v>13</v>
      </c>
      <c r="E91">
        <v>1113.18</v>
      </c>
      <c r="F91">
        <v>44</v>
      </c>
      <c r="G91" s="4" t="str">
        <f>_xlfn.XLOOKUP($B91,supplier_data!A:A,supplier_data!B:B)</f>
        <v>Dell</v>
      </c>
    </row>
    <row r="92" spans="1:7" x14ac:dyDescent="0.25">
      <c r="A92" s="1">
        <v>45209</v>
      </c>
      <c r="B92" t="s">
        <v>22</v>
      </c>
      <c r="C92" t="s">
        <v>7</v>
      </c>
      <c r="D92" t="s">
        <v>11</v>
      </c>
      <c r="E92">
        <v>1895.09</v>
      </c>
      <c r="F92">
        <v>37</v>
      </c>
      <c r="G92" s="4" t="str">
        <f>_xlfn.XLOOKUP($B92,supplier_data!A:A,supplier_data!B:B)</f>
        <v>Apple</v>
      </c>
    </row>
    <row r="93" spans="1:7" x14ac:dyDescent="0.25">
      <c r="A93" s="1">
        <v>45260</v>
      </c>
      <c r="B93" t="s">
        <v>17</v>
      </c>
      <c r="C93" t="s">
        <v>18</v>
      </c>
      <c r="D93" t="s">
        <v>11</v>
      </c>
      <c r="E93">
        <v>1970.83</v>
      </c>
      <c r="F93">
        <v>36</v>
      </c>
      <c r="G93" s="4" t="str">
        <f>_xlfn.XLOOKUP($B93,supplier_data!A:A,supplier_data!B:B)</f>
        <v>Fossil</v>
      </c>
    </row>
    <row r="94" spans="1:7" x14ac:dyDescent="0.25">
      <c r="A94" s="1">
        <v>44934</v>
      </c>
      <c r="B94" t="s">
        <v>12</v>
      </c>
      <c r="C94" t="s">
        <v>7</v>
      </c>
      <c r="D94" t="s">
        <v>11</v>
      </c>
      <c r="E94">
        <v>1857</v>
      </c>
      <c r="F94">
        <v>46</v>
      </c>
      <c r="G94" s="4" t="str">
        <f>_xlfn.XLOOKUP($B94,supplier_data!A:A,supplier_data!B:B)</f>
        <v>Dell</v>
      </c>
    </row>
    <row r="95" spans="1:7" x14ac:dyDescent="0.25">
      <c r="A95" s="1">
        <v>44971</v>
      </c>
      <c r="B95" t="s">
        <v>22</v>
      </c>
      <c r="C95" t="s">
        <v>7</v>
      </c>
      <c r="D95" t="s">
        <v>9</v>
      </c>
      <c r="E95">
        <v>1480.01</v>
      </c>
      <c r="F95">
        <v>11</v>
      </c>
      <c r="G95" s="4" t="str">
        <f>_xlfn.XLOOKUP($B95,supplier_data!A:A,supplier_data!B:B)</f>
        <v>Apple</v>
      </c>
    </row>
    <row r="96" spans="1:7" x14ac:dyDescent="0.25">
      <c r="A96" s="1">
        <v>45022</v>
      </c>
      <c r="B96" t="s">
        <v>6</v>
      </c>
      <c r="C96" t="s">
        <v>7</v>
      </c>
      <c r="D96" t="s">
        <v>11</v>
      </c>
      <c r="E96">
        <v>481.85</v>
      </c>
      <c r="F96">
        <v>42</v>
      </c>
      <c r="G96" s="4" t="str">
        <f>_xlfn.XLOOKUP($B96,supplier_data!A:A,supplier_data!B:B)</f>
        <v>Canon</v>
      </c>
    </row>
    <row r="97" spans="1:7" x14ac:dyDescent="0.25">
      <c r="A97" s="1">
        <v>44993</v>
      </c>
      <c r="B97" t="s">
        <v>21</v>
      </c>
      <c r="C97" t="s">
        <v>7</v>
      </c>
      <c r="D97" t="s">
        <v>11</v>
      </c>
      <c r="E97">
        <v>1722.5</v>
      </c>
      <c r="F97">
        <v>40</v>
      </c>
      <c r="G97" s="4" t="str">
        <f>_xlfn.XLOOKUP($B97,supplier_data!A:A,supplier_data!B:B)</f>
        <v>Sony</v>
      </c>
    </row>
    <row r="98" spans="1:7" x14ac:dyDescent="0.25">
      <c r="A98" s="1">
        <v>44954</v>
      </c>
      <c r="B98" t="s">
        <v>22</v>
      </c>
      <c r="C98" t="s">
        <v>7</v>
      </c>
      <c r="D98" t="s">
        <v>9</v>
      </c>
      <c r="E98">
        <v>1450.87</v>
      </c>
      <c r="F98">
        <v>31</v>
      </c>
      <c r="G98" s="4" t="str">
        <f>_xlfn.XLOOKUP($B98,supplier_data!A:A,supplier_data!B:B)</f>
        <v>Apple</v>
      </c>
    </row>
    <row r="99" spans="1:7" x14ac:dyDescent="0.25">
      <c r="A99" s="1">
        <v>45232</v>
      </c>
      <c r="B99" t="s">
        <v>10</v>
      </c>
      <c r="C99" t="s">
        <v>7</v>
      </c>
      <c r="D99" t="s">
        <v>13</v>
      </c>
      <c r="E99">
        <v>1651.41</v>
      </c>
      <c r="F99">
        <v>27</v>
      </c>
      <c r="G99" s="4" t="str">
        <f>_xlfn.XLOOKUP($B99,supplier_data!A:A,supplier_data!B:B)</f>
        <v>Samsung</v>
      </c>
    </row>
    <row r="100" spans="1:7" x14ac:dyDescent="0.25">
      <c r="A100" s="1">
        <v>45059</v>
      </c>
      <c r="B100" t="s">
        <v>22</v>
      </c>
      <c r="C100" t="s">
        <v>7</v>
      </c>
      <c r="D100" t="s">
        <v>11</v>
      </c>
      <c r="E100">
        <v>1623.76</v>
      </c>
      <c r="F100">
        <v>26</v>
      </c>
      <c r="G100" s="4" t="str">
        <f>_xlfn.XLOOKUP($B100,supplier_data!A:A,supplier_data!B:B)</f>
        <v>Apple</v>
      </c>
    </row>
    <row r="101" spans="1:7" x14ac:dyDescent="0.25">
      <c r="A101" s="1">
        <v>45054</v>
      </c>
      <c r="B101" t="s">
        <v>10</v>
      </c>
      <c r="C101" t="s">
        <v>7</v>
      </c>
      <c r="D101" t="s">
        <v>11</v>
      </c>
      <c r="E101">
        <v>982.57</v>
      </c>
      <c r="F101">
        <v>17</v>
      </c>
      <c r="G101" s="4" t="str">
        <f>_xlfn.XLOOKUP($B101,supplier_data!A:A,supplier_data!B:B)</f>
        <v>Samsung</v>
      </c>
    </row>
    <row r="102" spans="1:7" x14ac:dyDescent="0.25">
      <c r="A102" s="1">
        <v>45288</v>
      </c>
      <c r="B102" t="s">
        <v>19</v>
      </c>
      <c r="C102" t="s">
        <v>7</v>
      </c>
      <c r="D102" t="s">
        <v>13</v>
      </c>
      <c r="E102">
        <v>902.69</v>
      </c>
      <c r="F102">
        <v>4</v>
      </c>
      <c r="G102" s="4" t="str">
        <f>_xlfn.XLOOKUP($B102,supplier_data!A:A,supplier_data!B:B)</f>
        <v>HP</v>
      </c>
    </row>
    <row r="103" spans="1:7" x14ac:dyDescent="0.25">
      <c r="A103" s="1">
        <v>45161</v>
      </c>
      <c r="B103" t="s">
        <v>19</v>
      </c>
      <c r="C103" t="s">
        <v>7</v>
      </c>
      <c r="D103" t="s">
        <v>9</v>
      </c>
      <c r="E103">
        <v>685.39</v>
      </c>
      <c r="F103">
        <v>44</v>
      </c>
      <c r="G103" s="4" t="str">
        <f>_xlfn.XLOOKUP($B103,supplier_data!A:A,supplier_data!B:B)</f>
        <v>HP</v>
      </c>
    </row>
    <row r="104" spans="1:7" x14ac:dyDescent="0.25">
      <c r="A104" s="1">
        <v>45022</v>
      </c>
      <c r="B104" t="s">
        <v>6</v>
      </c>
      <c r="C104" t="s">
        <v>7</v>
      </c>
      <c r="D104" t="s">
        <v>11</v>
      </c>
      <c r="E104">
        <v>435.43</v>
      </c>
      <c r="F104">
        <v>5</v>
      </c>
      <c r="G104" s="4" t="str">
        <f>_xlfn.XLOOKUP($B104,supplier_data!A:A,supplier_data!B:B)</f>
        <v>Canon</v>
      </c>
    </row>
    <row r="105" spans="1:7" x14ac:dyDescent="0.25">
      <c r="A105" s="1">
        <v>45046</v>
      </c>
      <c r="B105" t="s">
        <v>21</v>
      </c>
      <c r="C105" t="s">
        <v>7</v>
      </c>
      <c r="D105" t="s">
        <v>13</v>
      </c>
      <c r="E105">
        <v>192.44</v>
      </c>
      <c r="F105">
        <v>17</v>
      </c>
      <c r="G105" s="4" t="str">
        <f>_xlfn.XLOOKUP($B105,supplier_data!A:A,supplier_data!B:B)</f>
        <v>Sony</v>
      </c>
    </row>
    <row r="106" spans="1:7" x14ac:dyDescent="0.25">
      <c r="A106" s="1">
        <v>45056</v>
      </c>
      <c r="B106" t="s">
        <v>21</v>
      </c>
      <c r="C106" t="s">
        <v>7</v>
      </c>
      <c r="D106" t="s">
        <v>8</v>
      </c>
      <c r="E106">
        <v>1455.31</v>
      </c>
      <c r="F106">
        <v>44</v>
      </c>
      <c r="G106" s="4" t="str">
        <f>_xlfn.XLOOKUP($B106,supplier_data!A:A,supplier_data!B:B)</f>
        <v>Sony</v>
      </c>
    </row>
    <row r="107" spans="1:7" x14ac:dyDescent="0.25">
      <c r="A107" s="1">
        <v>44944</v>
      </c>
      <c r="B107" t="s">
        <v>6</v>
      </c>
      <c r="C107" t="s">
        <v>7</v>
      </c>
      <c r="D107" t="s">
        <v>9</v>
      </c>
      <c r="E107">
        <v>194.4</v>
      </c>
      <c r="F107">
        <v>44</v>
      </c>
      <c r="G107" s="4" t="str">
        <f>_xlfn.XLOOKUP($B107,supplier_data!A:A,supplier_data!B:B)</f>
        <v>Canon</v>
      </c>
    </row>
    <row r="108" spans="1:7" x14ac:dyDescent="0.25">
      <c r="A108" s="1">
        <v>45057</v>
      </c>
      <c r="B108" t="s">
        <v>21</v>
      </c>
      <c r="C108" t="s">
        <v>7</v>
      </c>
      <c r="D108" t="s">
        <v>9</v>
      </c>
      <c r="E108">
        <v>902.91</v>
      </c>
      <c r="F108">
        <v>32</v>
      </c>
      <c r="G108" s="4" t="str">
        <f>_xlfn.XLOOKUP($B108,supplier_data!A:A,supplier_data!B:B)</f>
        <v>Sony</v>
      </c>
    </row>
    <row r="109" spans="1:7" x14ac:dyDescent="0.25">
      <c r="A109" s="1">
        <v>44977</v>
      </c>
      <c r="B109" t="s">
        <v>19</v>
      </c>
      <c r="C109" t="s">
        <v>7</v>
      </c>
      <c r="D109" t="s">
        <v>11</v>
      </c>
      <c r="E109">
        <v>969.44</v>
      </c>
      <c r="F109">
        <v>6</v>
      </c>
      <c r="G109" s="4" t="str">
        <f>_xlfn.XLOOKUP($B109,supplier_data!A:A,supplier_data!B:B)</f>
        <v>HP</v>
      </c>
    </row>
    <row r="110" spans="1:7" x14ac:dyDescent="0.25">
      <c r="A110" s="1">
        <v>45120</v>
      </c>
      <c r="B110" t="s">
        <v>10</v>
      </c>
      <c r="C110" t="s">
        <v>7</v>
      </c>
      <c r="D110" t="s">
        <v>11</v>
      </c>
      <c r="E110">
        <v>700.37</v>
      </c>
      <c r="F110">
        <v>3</v>
      </c>
      <c r="G110" s="4" t="str">
        <f>_xlfn.XLOOKUP($B110,supplier_data!A:A,supplier_data!B:B)</f>
        <v>Samsung</v>
      </c>
    </row>
    <row r="111" spans="1:7" x14ac:dyDescent="0.25">
      <c r="A111" s="1">
        <v>45260</v>
      </c>
      <c r="B111" t="s">
        <v>20</v>
      </c>
      <c r="C111" t="s">
        <v>7</v>
      </c>
      <c r="D111" t="s">
        <v>9</v>
      </c>
      <c r="E111">
        <v>426.18</v>
      </c>
      <c r="F111">
        <v>5</v>
      </c>
      <c r="G111" s="4" t="str">
        <f>_xlfn.XLOOKUP($B111,supplier_data!A:A,supplier_data!B:B)</f>
        <v>Logitech</v>
      </c>
    </row>
    <row r="112" spans="1:7" x14ac:dyDescent="0.25">
      <c r="A112" s="1">
        <v>45001</v>
      </c>
      <c r="B112" t="s">
        <v>17</v>
      </c>
      <c r="C112" t="s">
        <v>18</v>
      </c>
      <c r="D112" t="s">
        <v>13</v>
      </c>
      <c r="E112">
        <v>1814.73</v>
      </c>
      <c r="F112">
        <v>39</v>
      </c>
      <c r="G112" s="4" t="str">
        <f>_xlfn.XLOOKUP($B112,supplier_data!A:A,supplier_data!B:B)</f>
        <v>Fossil</v>
      </c>
    </row>
    <row r="113" spans="1:7" x14ac:dyDescent="0.25">
      <c r="A113" s="1">
        <v>45160</v>
      </c>
      <c r="B113" t="s">
        <v>21</v>
      </c>
      <c r="C113" t="s">
        <v>7</v>
      </c>
      <c r="D113" t="s">
        <v>13</v>
      </c>
      <c r="E113">
        <v>1476.67</v>
      </c>
      <c r="F113">
        <v>24</v>
      </c>
      <c r="G113" s="4" t="str">
        <f>_xlfn.XLOOKUP($B113,supplier_data!A:A,supplier_data!B:B)</f>
        <v>Sony</v>
      </c>
    </row>
    <row r="114" spans="1:7" x14ac:dyDescent="0.25">
      <c r="A114" s="1">
        <v>45093</v>
      </c>
      <c r="B114" t="s">
        <v>17</v>
      </c>
      <c r="C114" t="s">
        <v>18</v>
      </c>
      <c r="D114" t="s">
        <v>11</v>
      </c>
      <c r="E114">
        <v>248.27</v>
      </c>
      <c r="F114">
        <v>14</v>
      </c>
      <c r="G114" s="4" t="str">
        <f>_xlfn.XLOOKUP($B114,supplier_data!A:A,supplier_data!B:B)</f>
        <v>Fossil</v>
      </c>
    </row>
    <row r="115" spans="1:7" x14ac:dyDescent="0.25">
      <c r="A115" s="1">
        <v>45259</v>
      </c>
      <c r="B115" t="s">
        <v>10</v>
      </c>
      <c r="C115" t="s">
        <v>7</v>
      </c>
      <c r="D115" t="s">
        <v>8</v>
      </c>
      <c r="E115">
        <v>329.95</v>
      </c>
      <c r="F115">
        <v>35</v>
      </c>
      <c r="G115" s="4" t="str">
        <f>_xlfn.XLOOKUP($B115,supplier_data!A:A,supplier_data!B:B)</f>
        <v>Samsung</v>
      </c>
    </row>
    <row r="116" spans="1:7" x14ac:dyDescent="0.25">
      <c r="A116" s="1">
        <v>45035</v>
      </c>
      <c r="B116" t="s">
        <v>21</v>
      </c>
      <c r="C116" t="s">
        <v>7</v>
      </c>
      <c r="D116" t="s">
        <v>13</v>
      </c>
      <c r="E116">
        <v>1277.6099999999999</v>
      </c>
      <c r="F116">
        <v>35</v>
      </c>
      <c r="G116" s="4" t="str">
        <f>_xlfn.XLOOKUP($B116,supplier_data!A:A,supplier_data!B:B)</f>
        <v>Sony</v>
      </c>
    </row>
    <row r="117" spans="1:7" x14ac:dyDescent="0.25">
      <c r="A117" s="1">
        <v>45263</v>
      </c>
      <c r="B117" t="s">
        <v>19</v>
      </c>
      <c r="C117" t="s">
        <v>7</v>
      </c>
      <c r="D117" t="s">
        <v>9</v>
      </c>
      <c r="E117">
        <v>1636.49</v>
      </c>
      <c r="F117">
        <v>50</v>
      </c>
      <c r="G117" s="4" t="str">
        <f>_xlfn.XLOOKUP($B117,supplier_data!A:A,supplier_data!B:B)</f>
        <v>HP</v>
      </c>
    </row>
    <row r="118" spans="1:7" x14ac:dyDescent="0.25">
      <c r="A118" s="1">
        <v>44954</v>
      </c>
      <c r="B118" t="s">
        <v>19</v>
      </c>
      <c r="C118" t="s">
        <v>7</v>
      </c>
      <c r="D118" t="s">
        <v>11</v>
      </c>
      <c r="E118">
        <v>1159.93</v>
      </c>
      <c r="F118">
        <v>1</v>
      </c>
      <c r="G118" s="4" t="str">
        <f>_xlfn.XLOOKUP($B118,supplier_data!A:A,supplier_data!B:B)</f>
        <v>HP</v>
      </c>
    </row>
    <row r="119" spans="1:7" x14ac:dyDescent="0.25">
      <c r="A119" s="1">
        <v>45188</v>
      </c>
      <c r="B119" t="s">
        <v>12</v>
      </c>
      <c r="C119" t="s">
        <v>7</v>
      </c>
      <c r="D119" t="s">
        <v>11</v>
      </c>
      <c r="E119">
        <v>1942.57</v>
      </c>
      <c r="F119">
        <v>50</v>
      </c>
      <c r="G119" s="4" t="str">
        <f>_xlfn.XLOOKUP($B119,supplier_data!A:A,supplier_data!B:B)</f>
        <v>Dell</v>
      </c>
    </row>
    <row r="120" spans="1:7" x14ac:dyDescent="0.25">
      <c r="A120" s="1">
        <v>45090</v>
      </c>
      <c r="B120" t="s">
        <v>6</v>
      </c>
      <c r="C120" t="s">
        <v>7</v>
      </c>
      <c r="D120" t="s">
        <v>9</v>
      </c>
      <c r="E120">
        <v>820.66</v>
      </c>
      <c r="F120">
        <v>42</v>
      </c>
      <c r="G120" s="4" t="str">
        <f>_xlfn.XLOOKUP($B120,supplier_data!A:A,supplier_data!B:B)</f>
        <v>Canon</v>
      </c>
    </row>
    <row r="121" spans="1:7" x14ac:dyDescent="0.25">
      <c r="A121" s="1">
        <v>45208</v>
      </c>
      <c r="B121" t="s">
        <v>22</v>
      </c>
      <c r="C121" t="s">
        <v>7</v>
      </c>
      <c r="D121" t="s">
        <v>9</v>
      </c>
      <c r="E121">
        <v>1198.48</v>
      </c>
      <c r="F121">
        <v>8</v>
      </c>
      <c r="G121" s="4" t="str">
        <f>_xlfn.XLOOKUP($B121,supplier_data!A:A,supplier_data!B:B)</f>
        <v>Apple</v>
      </c>
    </row>
    <row r="122" spans="1:7" x14ac:dyDescent="0.25">
      <c r="A122" s="1">
        <v>44945</v>
      </c>
      <c r="B122" t="s">
        <v>17</v>
      </c>
      <c r="C122" t="s">
        <v>18</v>
      </c>
      <c r="D122" t="s">
        <v>11</v>
      </c>
      <c r="E122">
        <v>397.15</v>
      </c>
      <c r="F122">
        <v>1</v>
      </c>
      <c r="G122" s="4" t="str">
        <f>_xlfn.XLOOKUP($B122,supplier_data!A:A,supplier_data!B:B)</f>
        <v>Fossil</v>
      </c>
    </row>
    <row r="123" spans="1:7" x14ac:dyDescent="0.25">
      <c r="A123" s="1">
        <v>45262</v>
      </c>
      <c r="B123" t="s">
        <v>14</v>
      </c>
      <c r="C123" t="s">
        <v>7</v>
      </c>
      <c r="D123" t="s">
        <v>13</v>
      </c>
      <c r="E123">
        <v>1822.18</v>
      </c>
      <c r="F123">
        <v>39</v>
      </c>
      <c r="G123" s="4" t="str">
        <f>_xlfn.XLOOKUP($B123,supplier_data!A:A,supplier_data!B:B)</f>
        <v>LG</v>
      </c>
    </row>
    <row r="124" spans="1:7" x14ac:dyDescent="0.25">
      <c r="A124" s="1">
        <v>45088</v>
      </c>
      <c r="B124" t="s">
        <v>20</v>
      </c>
      <c r="C124" t="s">
        <v>7</v>
      </c>
      <c r="D124" t="s">
        <v>13</v>
      </c>
      <c r="E124">
        <v>1817.86</v>
      </c>
      <c r="F124">
        <v>15</v>
      </c>
      <c r="G124" s="4" t="str">
        <f>_xlfn.XLOOKUP($B124,supplier_data!A:A,supplier_data!B:B)</f>
        <v>Logitech</v>
      </c>
    </row>
    <row r="125" spans="1:7" x14ac:dyDescent="0.25">
      <c r="A125" s="1">
        <v>45162</v>
      </c>
      <c r="B125" t="s">
        <v>6</v>
      </c>
      <c r="C125" t="s">
        <v>7</v>
      </c>
      <c r="D125" t="s">
        <v>8</v>
      </c>
      <c r="E125">
        <v>956.62</v>
      </c>
      <c r="F125">
        <v>19</v>
      </c>
      <c r="G125" s="4" t="str">
        <f>_xlfn.XLOOKUP($B125,supplier_data!A:A,supplier_data!B:B)</f>
        <v>Canon</v>
      </c>
    </row>
    <row r="126" spans="1:7" x14ac:dyDescent="0.25">
      <c r="A126" s="1">
        <v>45281</v>
      </c>
      <c r="B126" t="s">
        <v>20</v>
      </c>
      <c r="C126" t="s">
        <v>7</v>
      </c>
      <c r="D126" t="s">
        <v>9</v>
      </c>
      <c r="E126">
        <v>988.32</v>
      </c>
      <c r="F126">
        <v>35</v>
      </c>
      <c r="G126" s="4" t="str">
        <f>_xlfn.XLOOKUP($B126,supplier_data!A:A,supplier_data!B:B)</f>
        <v>Logitech</v>
      </c>
    </row>
    <row r="127" spans="1:7" x14ac:dyDescent="0.25">
      <c r="A127" s="1">
        <v>45127</v>
      </c>
      <c r="B127" t="s">
        <v>17</v>
      </c>
      <c r="C127" t="s">
        <v>18</v>
      </c>
      <c r="D127" t="s">
        <v>8</v>
      </c>
      <c r="E127">
        <v>1530.3</v>
      </c>
      <c r="F127">
        <v>22</v>
      </c>
      <c r="G127" s="4" t="str">
        <f>_xlfn.XLOOKUP($B127,supplier_data!A:A,supplier_data!B:B)</f>
        <v>Fossil</v>
      </c>
    </row>
    <row r="128" spans="1:7" x14ac:dyDescent="0.25">
      <c r="A128" s="1">
        <v>45160</v>
      </c>
      <c r="B128" t="s">
        <v>19</v>
      </c>
      <c r="C128" t="s">
        <v>7</v>
      </c>
      <c r="D128" t="s">
        <v>8</v>
      </c>
      <c r="E128">
        <v>736.1</v>
      </c>
      <c r="F128">
        <v>7</v>
      </c>
      <c r="G128" s="4" t="str">
        <f>_xlfn.XLOOKUP($B128,supplier_data!A:A,supplier_data!B:B)</f>
        <v>HP</v>
      </c>
    </row>
    <row r="129" spans="1:7" x14ac:dyDescent="0.25">
      <c r="A129" s="1">
        <v>45081</v>
      </c>
      <c r="B129" t="s">
        <v>10</v>
      </c>
      <c r="C129" t="s">
        <v>7</v>
      </c>
      <c r="D129" t="s">
        <v>11</v>
      </c>
      <c r="E129">
        <v>1131.76</v>
      </c>
      <c r="F129">
        <v>18</v>
      </c>
      <c r="G129" s="4" t="str">
        <f>_xlfn.XLOOKUP($B129,supplier_data!A:A,supplier_data!B:B)</f>
        <v>Samsung</v>
      </c>
    </row>
    <row r="130" spans="1:7" x14ac:dyDescent="0.25">
      <c r="A130" s="1">
        <v>44961</v>
      </c>
      <c r="B130" t="s">
        <v>21</v>
      </c>
      <c r="C130" t="s">
        <v>7</v>
      </c>
      <c r="D130" t="s">
        <v>9</v>
      </c>
      <c r="E130">
        <v>1895.48</v>
      </c>
      <c r="F130">
        <v>5</v>
      </c>
      <c r="G130" s="4" t="str">
        <f>_xlfn.XLOOKUP($B130,supplier_data!A:A,supplier_data!B:B)</f>
        <v>Sony</v>
      </c>
    </row>
    <row r="131" spans="1:7" x14ac:dyDescent="0.25">
      <c r="A131" s="1">
        <v>45047</v>
      </c>
      <c r="B131" t="s">
        <v>6</v>
      </c>
      <c r="C131" t="s">
        <v>7</v>
      </c>
      <c r="D131" t="s">
        <v>11</v>
      </c>
      <c r="E131">
        <v>700.91</v>
      </c>
      <c r="F131">
        <v>16</v>
      </c>
      <c r="G131" s="4" t="str">
        <f>_xlfn.XLOOKUP($B131,supplier_data!A:A,supplier_data!B:B)</f>
        <v>Canon</v>
      </c>
    </row>
    <row r="132" spans="1:7" x14ac:dyDescent="0.25">
      <c r="A132" s="1">
        <v>45001</v>
      </c>
      <c r="B132" t="s">
        <v>17</v>
      </c>
      <c r="C132" t="s">
        <v>18</v>
      </c>
      <c r="D132" t="s">
        <v>11</v>
      </c>
      <c r="E132">
        <v>1081.3599999999999</v>
      </c>
      <c r="F132">
        <v>48</v>
      </c>
      <c r="G132" s="4" t="str">
        <f>_xlfn.XLOOKUP($B132,supplier_data!A:A,supplier_data!B:B)</f>
        <v>Fossil</v>
      </c>
    </row>
    <row r="133" spans="1:7" x14ac:dyDescent="0.25">
      <c r="A133" s="1">
        <v>45196</v>
      </c>
      <c r="B133" t="s">
        <v>12</v>
      </c>
      <c r="C133" t="s">
        <v>7</v>
      </c>
      <c r="D133" t="s">
        <v>9</v>
      </c>
      <c r="E133">
        <v>1325.29</v>
      </c>
      <c r="F133">
        <v>46</v>
      </c>
      <c r="G133" s="4" t="str">
        <f>_xlfn.XLOOKUP($B133,supplier_data!A:A,supplier_data!B:B)</f>
        <v>Dell</v>
      </c>
    </row>
    <row r="134" spans="1:7" x14ac:dyDescent="0.25">
      <c r="A134" s="1">
        <v>45205</v>
      </c>
      <c r="B134" t="s">
        <v>10</v>
      </c>
      <c r="C134" t="s">
        <v>7</v>
      </c>
      <c r="D134" t="s">
        <v>11</v>
      </c>
      <c r="E134">
        <v>914.18</v>
      </c>
      <c r="F134">
        <v>40</v>
      </c>
      <c r="G134" s="4" t="str">
        <f>_xlfn.XLOOKUP($B134,supplier_data!A:A,supplier_data!B:B)</f>
        <v>Samsung</v>
      </c>
    </row>
    <row r="135" spans="1:7" x14ac:dyDescent="0.25">
      <c r="A135" s="1">
        <v>44948</v>
      </c>
      <c r="B135" t="s">
        <v>21</v>
      </c>
      <c r="C135" t="s">
        <v>7</v>
      </c>
      <c r="D135" t="s">
        <v>9</v>
      </c>
      <c r="E135">
        <v>820.38</v>
      </c>
      <c r="F135">
        <v>34</v>
      </c>
      <c r="G135" s="4" t="str">
        <f>_xlfn.XLOOKUP($B135,supplier_data!A:A,supplier_data!B:B)</f>
        <v>Sony</v>
      </c>
    </row>
    <row r="136" spans="1:7" x14ac:dyDescent="0.25">
      <c r="A136" s="1">
        <v>45149</v>
      </c>
      <c r="B136" t="s">
        <v>10</v>
      </c>
      <c r="C136" t="s">
        <v>7</v>
      </c>
      <c r="D136" t="s">
        <v>8</v>
      </c>
      <c r="E136">
        <v>764.52</v>
      </c>
      <c r="F136">
        <v>6</v>
      </c>
      <c r="G136" s="4" t="str">
        <f>_xlfn.XLOOKUP($B136,supplier_data!A:A,supplier_data!B:B)</f>
        <v>Samsung</v>
      </c>
    </row>
    <row r="137" spans="1:7" x14ac:dyDescent="0.25">
      <c r="A137" s="1">
        <v>44983</v>
      </c>
      <c r="B137" t="s">
        <v>17</v>
      </c>
      <c r="C137" t="s">
        <v>18</v>
      </c>
      <c r="D137" t="s">
        <v>8</v>
      </c>
      <c r="E137">
        <v>769.25</v>
      </c>
      <c r="F137">
        <v>2</v>
      </c>
      <c r="G137" s="4" t="str">
        <f>_xlfn.XLOOKUP($B137,supplier_data!A:A,supplier_data!B:B)</f>
        <v>Fossil</v>
      </c>
    </row>
    <row r="138" spans="1:7" x14ac:dyDescent="0.25">
      <c r="A138" s="1">
        <v>45080</v>
      </c>
      <c r="B138" t="s">
        <v>14</v>
      </c>
      <c r="C138" t="s">
        <v>7</v>
      </c>
      <c r="D138" t="s">
        <v>8</v>
      </c>
      <c r="E138">
        <v>1565.8</v>
      </c>
      <c r="F138">
        <v>13</v>
      </c>
      <c r="G138" s="4" t="str">
        <f>_xlfn.XLOOKUP($B138,supplier_data!A:A,supplier_data!B:B)</f>
        <v>LG</v>
      </c>
    </row>
    <row r="139" spans="1:7" x14ac:dyDescent="0.25">
      <c r="A139" s="1">
        <v>45109</v>
      </c>
      <c r="B139" t="s">
        <v>10</v>
      </c>
      <c r="C139" t="s">
        <v>7</v>
      </c>
      <c r="D139" t="s">
        <v>9</v>
      </c>
      <c r="E139">
        <v>1878.92</v>
      </c>
      <c r="F139">
        <v>50</v>
      </c>
      <c r="G139" s="4" t="str">
        <f>_xlfn.XLOOKUP($B139,supplier_data!A:A,supplier_data!B:B)</f>
        <v>Samsung</v>
      </c>
    </row>
    <row r="140" spans="1:7" x14ac:dyDescent="0.25">
      <c r="A140" s="1">
        <v>45085</v>
      </c>
      <c r="B140" t="s">
        <v>21</v>
      </c>
      <c r="C140" t="s">
        <v>7</v>
      </c>
      <c r="D140" t="s">
        <v>9</v>
      </c>
      <c r="E140">
        <v>1096.17</v>
      </c>
      <c r="F140">
        <v>48</v>
      </c>
      <c r="G140" s="4" t="str">
        <f>_xlfn.XLOOKUP($B140,supplier_data!A:A,supplier_data!B:B)</f>
        <v>Sony</v>
      </c>
    </row>
    <row r="141" spans="1:7" x14ac:dyDescent="0.25">
      <c r="A141" s="1">
        <v>45233</v>
      </c>
      <c r="B141" t="s">
        <v>17</v>
      </c>
      <c r="C141" t="s">
        <v>18</v>
      </c>
      <c r="D141" t="s">
        <v>11</v>
      </c>
      <c r="E141">
        <v>318.08</v>
      </c>
      <c r="F141">
        <v>39</v>
      </c>
      <c r="G141" s="4" t="str">
        <f>_xlfn.XLOOKUP($B141,supplier_data!A:A,supplier_data!B:B)</f>
        <v>Fossil</v>
      </c>
    </row>
    <row r="142" spans="1:7" x14ac:dyDescent="0.25">
      <c r="A142" s="1">
        <v>45104</v>
      </c>
      <c r="B142" t="s">
        <v>15</v>
      </c>
      <c r="C142" t="s">
        <v>16</v>
      </c>
      <c r="D142" t="s">
        <v>9</v>
      </c>
      <c r="E142">
        <v>1645.99</v>
      </c>
      <c r="F142">
        <v>50</v>
      </c>
      <c r="G142" s="4" t="str">
        <f>_xlfn.XLOOKUP($B142,supplier_data!A:A,supplier_data!B:B)</f>
        <v>Nike</v>
      </c>
    </row>
    <row r="143" spans="1:7" x14ac:dyDescent="0.25">
      <c r="A143" s="1">
        <v>45108</v>
      </c>
      <c r="B143" t="s">
        <v>22</v>
      </c>
      <c r="C143" t="s">
        <v>7</v>
      </c>
      <c r="D143" t="s">
        <v>9</v>
      </c>
      <c r="E143">
        <v>530.23</v>
      </c>
      <c r="F143">
        <v>17</v>
      </c>
      <c r="G143" s="4" t="str">
        <f>_xlfn.XLOOKUP($B143,supplier_data!A:A,supplier_data!B:B)</f>
        <v>Apple</v>
      </c>
    </row>
    <row r="144" spans="1:7" x14ac:dyDescent="0.25">
      <c r="A144" s="1">
        <v>45041</v>
      </c>
      <c r="B144" t="s">
        <v>15</v>
      </c>
      <c r="C144" t="s">
        <v>16</v>
      </c>
      <c r="D144" t="s">
        <v>8</v>
      </c>
      <c r="E144">
        <v>1066.9100000000001</v>
      </c>
      <c r="F144">
        <v>29</v>
      </c>
      <c r="G144" s="4" t="str">
        <f>_xlfn.XLOOKUP($B144,supplier_data!A:A,supplier_data!B:B)</f>
        <v>Nike</v>
      </c>
    </row>
    <row r="145" spans="1:7" x14ac:dyDescent="0.25">
      <c r="A145" s="1">
        <v>45192</v>
      </c>
      <c r="B145" t="s">
        <v>10</v>
      </c>
      <c r="C145" t="s">
        <v>7</v>
      </c>
      <c r="D145" t="s">
        <v>13</v>
      </c>
      <c r="E145">
        <v>1339.68</v>
      </c>
      <c r="F145">
        <v>16</v>
      </c>
      <c r="G145" s="4" t="str">
        <f>_xlfn.XLOOKUP($B145,supplier_data!A:A,supplier_data!B:B)</f>
        <v>Samsung</v>
      </c>
    </row>
    <row r="146" spans="1:7" x14ac:dyDescent="0.25">
      <c r="A146" s="1">
        <v>45145</v>
      </c>
      <c r="B146" t="s">
        <v>6</v>
      </c>
      <c r="C146" t="s">
        <v>7</v>
      </c>
      <c r="D146" t="s">
        <v>13</v>
      </c>
      <c r="E146">
        <v>1792.13</v>
      </c>
      <c r="F146">
        <v>5</v>
      </c>
      <c r="G146" s="4" t="str">
        <f>_xlfn.XLOOKUP($B146,supplier_data!A:A,supplier_data!B:B)</f>
        <v>Canon</v>
      </c>
    </row>
    <row r="147" spans="1:7" x14ac:dyDescent="0.25">
      <c r="A147" s="1">
        <v>45028</v>
      </c>
      <c r="B147" t="s">
        <v>19</v>
      </c>
      <c r="C147" t="s">
        <v>7</v>
      </c>
      <c r="D147" t="s">
        <v>8</v>
      </c>
      <c r="E147">
        <v>1521.85</v>
      </c>
      <c r="F147">
        <v>47</v>
      </c>
      <c r="G147" s="4" t="str">
        <f>_xlfn.XLOOKUP($B147,supplier_data!A:A,supplier_data!B:B)</f>
        <v>HP</v>
      </c>
    </row>
    <row r="148" spans="1:7" x14ac:dyDescent="0.25">
      <c r="A148" s="1">
        <v>44996</v>
      </c>
      <c r="B148" t="s">
        <v>22</v>
      </c>
      <c r="C148" t="s">
        <v>7</v>
      </c>
      <c r="D148" t="s">
        <v>11</v>
      </c>
      <c r="E148">
        <v>965.18</v>
      </c>
      <c r="F148">
        <v>30</v>
      </c>
      <c r="G148" s="4" t="str">
        <f>_xlfn.XLOOKUP($B148,supplier_data!A:A,supplier_data!B:B)</f>
        <v>Apple</v>
      </c>
    </row>
    <row r="149" spans="1:7" x14ac:dyDescent="0.25">
      <c r="A149" s="1">
        <v>45159</v>
      </c>
      <c r="B149" t="s">
        <v>20</v>
      </c>
      <c r="C149" t="s">
        <v>7</v>
      </c>
      <c r="D149" t="s">
        <v>9</v>
      </c>
      <c r="E149">
        <v>552.36</v>
      </c>
      <c r="F149">
        <v>4</v>
      </c>
      <c r="G149" s="4" t="str">
        <f>_xlfn.XLOOKUP($B149,supplier_data!A:A,supplier_data!B:B)</f>
        <v>Logitech</v>
      </c>
    </row>
    <row r="150" spans="1:7" x14ac:dyDescent="0.25">
      <c r="A150" s="1">
        <v>44952</v>
      </c>
      <c r="B150" t="s">
        <v>17</v>
      </c>
      <c r="C150" t="s">
        <v>18</v>
      </c>
      <c r="D150" t="s">
        <v>9</v>
      </c>
      <c r="E150">
        <v>1760.81</v>
      </c>
      <c r="F150">
        <v>11</v>
      </c>
      <c r="G150" s="4" t="str">
        <f>_xlfn.XLOOKUP($B150,supplier_data!A:A,supplier_data!B:B)</f>
        <v>Fossil</v>
      </c>
    </row>
    <row r="151" spans="1:7" x14ac:dyDescent="0.25">
      <c r="A151" s="1">
        <v>45095</v>
      </c>
      <c r="B151" t="s">
        <v>19</v>
      </c>
      <c r="C151" t="s">
        <v>7</v>
      </c>
      <c r="D151" t="s">
        <v>9</v>
      </c>
      <c r="E151">
        <v>1501.1</v>
      </c>
      <c r="F151">
        <v>35</v>
      </c>
      <c r="G151" s="4" t="str">
        <f>_xlfn.XLOOKUP($B151,supplier_data!A:A,supplier_data!B:B)</f>
        <v>HP</v>
      </c>
    </row>
    <row r="152" spans="1:7" x14ac:dyDescent="0.25">
      <c r="A152" s="1">
        <v>45081</v>
      </c>
      <c r="B152" t="s">
        <v>22</v>
      </c>
      <c r="C152" t="s">
        <v>7</v>
      </c>
      <c r="D152" t="s">
        <v>13</v>
      </c>
      <c r="E152">
        <v>1491.69</v>
      </c>
      <c r="F152">
        <v>42</v>
      </c>
      <c r="G152" s="4" t="str">
        <f>_xlfn.XLOOKUP($B152,supplier_data!A:A,supplier_data!B:B)</f>
        <v>Apple</v>
      </c>
    </row>
    <row r="153" spans="1:7" x14ac:dyDescent="0.25">
      <c r="A153" s="1">
        <v>45221</v>
      </c>
      <c r="B153" t="s">
        <v>17</v>
      </c>
      <c r="C153" t="s">
        <v>18</v>
      </c>
      <c r="D153" t="s">
        <v>9</v>
      </c>
      <c r="E153">
        <v>835.99</v>
      </c>
      <c r="F153">
        <v>42</v>
      </c>
      <c r="G153" s="4" t="str">
        <f>_xlfn.XLOOKUP($B153,supplier_data!A:A,supplier_data!B:B)</f>
        <v>Fossil</v>
      </c>
    </row>
    <row r="154" spans="1:7" x14ac:dyDescent="0.25">
      <c r="A154" s="1">
        <v>45224</v>
      </c>
      <c r="B154" t="s">
        <v>14</v>
      </c>
      <c r="C154" t="s">
        <v>7</v>
      </c>
      <c r="D154" t="s">
        <v>13</v>
      </c>
      <c r="E154">
        <v>439.71</v>
      </c>
      <c r="F154">
        <v>36</v>
      </c>
      <c r="G154" s="4" t="str">
        <f>_xlfn.XLOOKUP($B154,supplier_data!A:A,supplier_data!B:B)</f>
        <v>LG</v>
      </c>
    </row>
    <row r="155" spans="1:7" x14ac:dyDescent="0.25">
      <c r="A155" s="1">
        <v>45095</v>
      </c>
      <c r="B155" t="s">
        <v>21</v>
      </c>
      <c r="C155" t="s">
        <v>7</v>
      </c>
      <c r="D155" t="s">
        <v>8</v>
      </c>
      <c r="E155">
        <v>166.81</v>
      </c>
      <c r="F155">
        <v>10</v>
      </c>
      <c r="G155" s="4" t="str">
        <f>_xlfn.XLOOKUP($B155,supplier_data!A:A,supplier_data!B:B)</f>
        <v>Sony</v>
      </c>
    </row>
    <row r="156" spans="1:7" x14ac:dyDescent="0.25">
      <c r="A156" s="1">
        <v>45044</v>
      </c>
      <c r="B156" t="s">
        <v>17</v>
      </c>
      <c r="C156" t="s">
        <v>18</v>
      </c>
      <c r="D156" t="s">
        <v>9</v>
      </c>
      <c r="E156">
        <v>939.98</v>
      </c>
      <c r="F156">
        <v>26</v>
      </c>
      <c r="G156" s="4" t="str">
        <f>_xlfn.XLOOKUP($B156,supplier_data!A:A,supplier_data!B:B)</f>
        <v>Fossil</v>
      </c>
    </row>
    <row r="157" spans="1:7" x14ac:dyDescent="0.25">
      <c r="A157" s="1">
        <v>45221</v>
      </c>
      <c r="B157" t="s">
        <v>22</v>
      </c>
      <c r="C157" t="s">
        <v>7</v>
      </c>
      <c r="D157" t="s">
        <v>13</v>
      </c>
      <c r="E157">
        <v>1722.57</v>
      </c>
      <c r="F157">
        <v>34</v>
      </c>
      <c r="G157" s="4" t="str">
        <f>_xlfn.XLOOKUP($B157,supplier_data!A:A,supplier_data!B:B)</f>
        <v>Apple</v>
      </c>
    </row>
    <row r="158" spans="1:7" x14ac:dyDescent="0.25">
      <c r="A158" s="1">
        <v>45276</v>
      </c>
      <c r="B158" t="s">
        <v>6</v>
      </c>
      <c r="C158" t="s">
        <v>7</v>
      </c>
      <c r="D158" t="s">
        <v>13</v>
      </c>
      <c r="E158">
        <v>1157</v>
      </c>
      <c r="F158">
        <v>40</v>
      </c>
      <c r="G158" s="4" t="str">
        <f>_xlfn.XLOOKUP($B158,supplier_data!A:A,supplier_data!B:B)</f>
        <v>Canon</v>
      </c>
    </row>
    <row r="159" spans="1:7" x14ac:dyDescent="0.25">
      <c r="A159" s="1">
        <v>45157</v>
      </c>
      <c r="B159" t="s">
        <v>22</v>
      </c>
      <c r="C159" t="s">
        <v>7</v>
      </c>
      <c r="D159" t="s">
        <v>9</v>
      </c>
      <c r="E159">
        <v>403.08</v>
      </c>
      <c r="F159">
        <v>10</v>
      </c>
      <c r="G159" s="4" t="str">
        <f>_xlfn.XLOOKUP($B159,supplier_data!A:A,supplier_data!B:B)</f>
        <v>Apple</v>
      </c>
    </row>
    <row r="160" spans="1:7" x14ac:dyDescent="0.25">
      <c r="A160" s="1">
        <v>45028</v>
      </c>
      <c r="B160" t="s">
        <v>21</v>
      </c>
      <c r="C160" t="s">
        <v>7</v>
      </c>
      <c r="D160" t="s">
        <v>8</v>
      </c>
      <c r="E160">
        <v>1035.3800000000001</v>
      </c>
      <c r="F160">
        <v>5</v>
      </c>
      <c r="G160" s="4" t="str">
        <f>_xlfn.XLOOKUP($B160,supplier_data!A:A,supplier_data!B:B)</f>
        <v>Sony</v>
      </c>
    </row>
    <row r="161" spans="1:7" x14ac:dyDescent="0.25">
      <c r="A161" s="1">
        <v>45016</v>
      </c>
      <c r="B161" t="s">
        <v>22</v>
      </c>
      <c r="C161" t="s">
        <v>7</v>
      </c>
      <c r="D161" t="s">
        <v>11</v>
      </c>
      <c r="E161">
        <v>278.35000000000002</v>
      </c>
      <c r="F161">
        <v>16</v>
      </c>
      <c r="G161" s="4" t="str">
        <f>_xlfn.XLOOKUP($B161,supplier_data!A:A,supplier_data!B:B)</f>
        <v>Apple</v>
      </c>
    </row>
    <row r="162" spans="1:7" x14ac:dyDescent="0.25">
      <c r="A162" s="1">
        <v>45147</v>
      </c>
      <c r="B162" t="s">
        <v>20</v>
      </c>
      <c r="C162" t="s">
        <v>7</v>
      </c>
      <c r="D162" t="s">
        <v>11</v>
      </c>
      <c r="E162">
        <v>892.07</v>
      </c>
      <c r="F162">
        <v>46</v>
      </c>
      <c r="G162" s="4" t="str">
        <f>_xlfn.XLOOKUP($B162,supplier_data!A:A,supplier_data!B:B)</f>
        <v>Logitech</v>
      </c>
    </row>
    <row r="163" spans="1:7" x14ac:dyDescent="0.25">
      <c r="A163" s="1">
        <v>45152</v>
      </c>
      <c r="B163" t="s">
        <v>6</v>
      </c>
      <c r="C163" t="s">
        <v>7</v>
      </c>
      <c r="D163" t="s">
        <v>8</v>
      </c>
      <c r="E163">
        <v>419.86</v>
      </c>
      <c r="F163">
        <v>1</v>
      </c>
      <c r="G163" s="4" t="str">
        <f>_xlfn.XLOOKUP($B163,supplier_data!A:A,supplier_data!B:B)</f>
        <v>Canon</v>
      </c>
    </row>
    <row r="164" spans="1:7" x14ac:dyDescent="0.25">
      <c r="A164" s="1">
        <v>45265</v>
      </c>
      <c r="B164" t="s">
        <v>19</v>
      </c>
      <c r="C164" t="s">
        <v>7</v>
      </c>
      <c r="D164" t="s">
        <v>13</v>
      </c>
      <c r="E164">
        <v>197.75</v>
      </c>
      <c r="F164">
        <v>28</v>
      </c>
      <c r="G164" s="4" t="str">
        <f>_xlfn.XLOOKUP($B164,supplier_data!A:A,supplier_data!B:B)</f>
        <v>HP</v>
      </c>
    </row>
    <row r="165" spans="1:7" x14ac:dyDescent="0.25">
      <c r="A165" s="1">
        <v>44933</v>
      </c>
      <c r="B165" t="s">
        <v>21</v>
      </c>
      <c r="C165" t="s">
        <v>7</v>
      </c>
      <c r="D165" t="s">
        <v>11</v>
      </c>
      <c r="E165">
        <v>1865.33</v>
      </c>
      <c r="F165">
        <v>11</v>
      </c>
      <c r="G165" s="4" t="str">
        <f>_xlfn.XLOOKUP($B165,supplier_data!A:A,supplier_data!B:B)</f>
        <v>Sony</v>
      </c>
    </row>
    <row r="166" spans="1:7" x14ac:dyDescent="0.25">
      <c r="A166" s="1">
        <v>44979</v>
      </c>
      <c r="B166" t="s">
        <v>14</v>
      </c>
      <c r="C166" t="s">
        <v>7</v>
      </c>
      <c r="D166" t="s">
        <v>13</v>
      </c>
      <c r="E166">
        <v>529.03</v>
      </c>
      <c r="F166">
        <v>23</v>
      </c>
      <c r="G166" s="4" t="str">
        <f>_xlfn.XLOOKUP($B166,supplier_data!A:A,supplier_data!B:B)</f>
        <v>LG</v>
      </c>
    </row>
    <row r="167" spans="1:7" x14ac:dyDescent="0.25">
      <c r="A167" s="1">
        <v>45085</v>
      </c>
      <c r="B167" t="s">
        <v>6</v>
      </c>
      <c r="C167" t="s">
        <v>7</v>
      </c>
      <c r="D167" t="s">
        <v>11</v>
      </c>
      <c r="E167">
        <v>1044.5899999999999</v>
      </c>
      <c r="F167">
        <v>4</v>
      </c>
      <c r="G167" s="4" t="str">
        <f>_xlfn.XLOOKUP($B167,supplier_data!A:A,supplier_data!B:B)</f>
        <v>Canon</v>
      </c>
    </row>
    <row r="168" spans="1:7" x14ac:dyDescent="0.25">
      <c r="A168" s="1">
        <v>45274</v>
      </c>
      <c r="B168" t="s">
        <v>21</v>
      </c>
      <c r="C168" t="s">
        <v>7</v>
      </c>
      <c r="D168" t="s">
        <v>11</v>
      </c>
      <c r="E168">
        <v>900.24</v>
      </c>
      <c r="F168">
        <v>3</v>
      </c>
      <c r="G168" s="4" t="str">
        <f>_xlfn.XLOOKUP($B168,supplier_data!A:A,supplier_data!B:B)</f>
        <v>Sony</v>
      </c>
    </row>
    <row r="169" spans="1:7" x14ac:dyDescent="0.25">
      <c r="A169" s="1">
        <v>45247</v>
      </c>
      <c r="B169" t="s">
        <v>6</v>
      </c>
      <c r="C169" t="s">
        <v>7</v>
      </c>
      <c r="D169" t="s">
        <v>9</v>
      </c>
      <c r="E169">
        <v>667.77</v>
      </c>
      <c r="F169">
        <v>34</v>
      </c>
      <c r="G169" s="4" t="str">
        <f>_xlfn.XLOOKUP($B169,supplier_data!A:A,supplier_data!B:B)</f>
        <v>Canon</v>
      </c>
    </row>
    <row r="170" spans="1:7" x14ac:dyDescent="0.25">
      <c r="A170" s="1">
        <v>45104</v>
      </c>
      <c r="B170" t="s">
        <v>19</v>
      </c>
      <c r="C170" t="s">
        <v>7</v>
      </c>
      <c r="D170" t="s">
        <v>9</v>
      </c>
      <c r="E170">
        <v>1736.75</v>
      </c>
      <c r="F170">
        <v>38</v>
      </c>
      <c r="G170" s="4" t="str">
        <f>_xlfn.XLOOKUP($B170,supplier_data!A:A,supplier_data!B:B)</f>
        <v>HP</v>
      </c>
    </row>
    <row r="171" spans="1:7" x14ac:dyDescent="0.25">
      <c r="A171" s="1">
        <v>45035</v>
      </c>
      <c r="B171" t="s">
        <v>15</v>
      </c>
      <c r="C171" t="s">
        <v>16</v>
      </c>
      <c r="D171" t="s">
        <v>13</v>
      </c>
      <c r="E171">
        <v>1890.64</v>
      </c>
      <c r="F171">
        <v>18</v>
      </c>
      <c r="G171" s="4" t="str">
        <f>_xlfn.XLOOKUP($B171,supplier_data!A:A,supplier_data!B:B)</f>
        <v>Nike</v>
      </c>
    </row>
    <row r="172" spans="1:7" x14ac:dyDescent="0.25">
      <c r="A172" s="1">
        <v>44930</v>
      </c>
      <c r="B172" t="s">
        <v>17</v>
      </c>
      <c r="C172" t="s">
        <v>18</v>
      </c>
      <c r="D172" t="s">
        <v>9</v>
      </c>
      <c r="E172">
        <v>433.67</v>
      </c>
      <c r="F172">
        <v>29</v>
      </c>
      <c r="G172" s="4" t="str">
        <f>_xlfn.XLOOKUP($B172,supplier_data!A:A,supplier_data!B:B)</f>
        <v>Fossil</v>
      </c>
    </row>
    <row r="173" spans="1:7" x14ac:dyDescent="0.25">
      <c r="A173" s="1">
        <v>45129</v>
      </c>
      <c r="B173" t="s">
        <v>12</v>
      </c>
      <c r="C173" t="s">
        <v>7</v>
      </c>
      <c r="D173" t="s">
        <v>13</v>
      </c>
      <c r="E173">
        <v>178.58</v>
      </c>
      <c r="F173">
        <v>46</v>
      </c>
      <c r="G173" s="4" t="str">
        <f>_xlfn.XLOOKUP($B173,supplier_data!A:A,supplier_data!B:B)</f>
        <v>Dell</v>
      </c>
    </row>
    <row r="174" spans="1:7" x14ac:dyDescent="0.25">
      <c r="A174" s="1">
        <v>45167</v>
      </c>
      <c r="B174" t="s">
        <v>19</v>
      </c>
      <c r="C174" t="s">
        <v>7</v>
      </c>
      <c r="D174" t="s">
        <v>13</v>
      </c>
      <c r="E174">
        <v>1365.62</v>
      </c>
      <c r="F174">
        <v>50</v>
      </c>
      <c r="G174" s="4" t="str">
        <f>_xlfn.XLOOKUP($B174,supplier_data!A:A,supplier_data!B:B)</f>
        <v>HP</v>
      </c>
    </row>
    <row r="175" spans="1:7" x14ac:dyDescent="0.25">
      <c r="A175" s="1">
        <v>45059</v>
      </c>
      <c r="B175" t="s">
        <v>17</v>
      </c>
      <c r="C175" t="s">
        <v>18</v>
      </c>
      <c r="D175" t="s">
        <v>9</v>
      </c>
      <c r="E175">
        <v>632.72</v>
      </c>
      <c r="F175">
        <v>17</v>
      </c>
      <c r="G175" s="4" t="str">
        <f>_xlfn.XLOOKUP($B175,supplier_data!A:A,supplier_data!B:B)</f>
        <v>Fossil</v>
      </c>
    </row>
    <row r="176" spans="1:7" x14ac:dyDescent="0.25">
      <c r="A176" s="1">
        <v>45146</v>
      </c>
      <c r="B176" t="s">
        <v>12</v>
      </c>
      <c r="C176" t="s">
        <v>7</v>
      </c>
      <c r="D176" t="s">
        <v>9</v>
      </c>
      <c r="E176">
        <v>1557.95</v>
      </c>
      <c r="F176">
        <v>16</v>
      </c>
      <c r="G176" s="4" t="str">
        <f>_xlfn.XLOOKUP($B176,supplier_data!A:A,supplier_data!B:B)</f>
        <v>Dell</v>
      </c>
    </row>
    <row r="177" spans="1:7" x14ac:dyDescent="0.25">
      <c r="A177" s="1">
        <v>45097</v>
      </c>
      <c r="B177" t="s">
        <v>22</v>
      </c>
      <c r="C177" t="s">
        <v>7</v>
      </c>
      <c r="D177" t="s">
        <v>11</v>
      </c>
      <c r="E177">
        <v>1119.2</v>
      </c>
      <c r="F177">
        <v>19</v>
      </c>
      <c r="G177" s="4" t="str">
        <f>_xlfn.XLOOKUP($B177,supplier_data!A:A,supplier_data!B:B)</f>
        <v>Apple</v>
      </c>
    </row>
    <row r="178" spans="1:7" x14ac:dyDescent="0.25">
      <c r="A178" s="1">
        <v>45214</v>
      </c>
      <c r="B178" t="s">
        <v>10</v>
      </c>
      <c r="C178" t="s">
        <v>7</v>
      </c>
      <c r="D178" t="s">
        <v>13</v>
      </c>
      <c r="E178">
        <v>1607.77</v>
      </c>
      <c r="F178">
        <v>18</v>
      </c>
      <c r="G178" s="4" t="str">
        <f>_xlfn.XLOOKUP($B178,supplier_data!A:A,supplier_data!B:B)</f>
        <v>Samsung</v>
      </c>
    </row>
    <row r="179" spans="1:7" x14ac:dyDescent="0.25">
      <c r="A179" s="1">
        <v>45239</v>
      </c>
      <c r="B179" t="s">
        <v>12</v>
      </c>
      <c r="C179" t="s">
        <v>7</v>
      </c>
      <c r="D179" t="s">
        <v>11</v>
      </c>
      <c r="E179">
        <v>1120.22</v>
      </c>
      <c r="F179">
        <v>50</v>
      </c>
      <c r="G179" s="4" t="str">
        <f>_xlfn.XLOOKUP($B179,supplier_data!A:A,supplier_data!B:B)</f>
        <v>Dell</v>
      </c>
    </row>
    <row r="180" spans="1:7" x14ac:dyDescent="0.25">
      <c r="A180" s="1">
        <v>45174</v>
      </c>
      <c r="B180" t="s">
        <v>14</v>
      </c>
      <c r="C180" t="s">
        <v>7</v>
      </c>
      <c r="D180" t="s">
        <v>13</v>
      </c>
      <c r="E180">
        <v>704.37</v>
      </c>
      <c r="F180">
        <v>47</v>
      </c>
      <c r="G180" s="4" t="str">
        <f>_xlfn.XLOOKUP($B180,supplier_data!A:A,supplier_data!B:B)</f>
        <v>LG</v>
      </c>
    </row>
    <row r="181" spans="1:7" x14ac:dyDescent="0.25">
      <c r="A181" s="1">
        <v>44973</v>
      </c>
      <c r="B181" t="s">
        <v>14</v>
      </c>
      <c r="C181" t="s">
        <v>7</v>
      </c>
      <c r="D181" t="s">
        <v>8</v>
      </c>
      <c r="E181">
        <v>469.46</v>
      </c>
      <c r="F181">
        <v>11</v>
      </c>
      <c r="G181" s="4" t="str">
        <f>_xlfn.XLOOKUP($B181,supplier_data!A:A,supplier_data!B:B)</f>
        <v>LG</v>
      </c>
    </row>
    <row r="182" spans="1:7" x14ac:dyDescent="0.25">
      <c r="A182" s="1">
        <v>45032</v>
      </c>
      <c r="B182" t="s">
        <v>22</v>
      </c>
      <c r="C182" t="s">
        <v>7</v>
      </c>
      <c r="D182" t="s">
        <v>11</v>
      </c>
      <c r="E182">
        <v>498.15</v>
      </c>
      <c r="F182">
        <v>37</v>
      </c>
      <c r="G182" s="4" t="str">
        <f>_xlfn.XLOOKUP($B182,supplier_data!A:A,supplier_data!B:B)</f>
        <v>Apple</v>
      </c>
    </row>
    <row r="183" spans="1:7" x14ac:dyDescent="0.25">
      <c r="A183" s="1">
        <v>45029</v>
      </c>
      <c r="B183" t="s">
        <v>14</v>
      </c>
      <c r="C183" t="s">
        <v>7</v>
      </c>
      <c r="D183" t="s">
        <v>11</v>
      </c>
      <c r="E183">
        <v>562.29</v>
      </c>
      <c r="F183">
        <v>33</v>
      </c>
      <c r="G183" s="4" t="str">
        <f>_xlfn.XLOOKUP($B183,supplier_data!A:A,supplier_data!B:B)</f>
        <v>LG</v>
      </c>
    </row>
    <row r="184" spans="1:7" x14ac:dyDescent="0.25">
      <c r="A184" s="1">
        <v>45152</v>
      </c>
      <c r="B184" t="s">
        <v>12</v>
      </c>
      <c r="C184" t="s">
        <v>7</v>
      </c>
      <c r="D184" t="s">
        <v>9</v>
      </c>
      <c r="E184">
        <v>102.03</v>
      </c>
      <c r="F184">
        <v>17</v>
      </c>
      <c r="G184" s="4" t="str">
        <f>_xlfn.XLOOKUP($B184,supplier_data!A:A,supplier_data!B:B)</f>
        <v>Dell</v>
      </c>
    </row>
    <row r="185" spans="1:7" x14ac:dyDescent="0.25">
      <c r="A185" s="1">
        <v>45080</v>
      </c>
      <c r="B185" t="s">
        <v>19</v>
      </c>
      <c r="C185" t="s">
        <v>7</v>
      </c>
      <c r="D185" t="s">
        <v>11</v>
      </c>
      <c r="E185">
        <v>1328.69</v>
      </c>
      <c r="F185">
        <v>9</v>
      </c>
      <c r="G185" s="4" t="str">
        <f>_xlfn.XLOOKUP($B185,supplier_data!A:A,supplier_data!B:B)</f>
        <v>HP</v>
      </c>
    </row>
    <row r="186" spans="1:7" x14ac:dyDescent="0.25">
      <c r="A186" s="1">
        <v>44950</v>
      </c>
      <c r="B186" t="s">
        <v>6</v>
      </c>
      <c r="C186" t="s">
        <v>7</v>
      </c>
      <c r="D186" t="s">
        <v>9</v>
      </c>
      <c r="E186">
        <v>1779.7</v>
      </c>
      <c r="F186">
        <v>21</v>
      </c>
      <c r="G186" s="4" t="str">
        <f>_xlfn.XLOOKUP($B186,supplier_data!A:A,supplier_data!B:B)</f>
        <v>Canon</v>
      </c>
    </row>
    <row r="187" spans="1:7" x14ac:dyDescent="0.25">
      <c r="A187" s="1">
        <v>44947</v>
      </c>
      <c r="B187" t="s">
        <v>21</v>
      </c>
      <c r="C187" t="s">
        <v>7</v>
      </c>
      <c r="D187" t="s">
        <v>9</v>
      </c>
      <c r="E187">
        <v>165.65</v>
      </c>
      <c r="F187">
        <v>25</v>
      </c>
      <c r="G187" s="4" t="str">
        <f>_xlfn.XLOOKUP($B187,supplier_data!A:A,supplier_data!B:B)</f>
        <v>Sony</v>
      </c>
    </row>
    <row r="188" spans="1:7" x14ac:dyDescent="0.25">
      <c r="A188" s="1">
        <v>44942</v>
      </c>
      <c r="B188" t="s">
        <v>6</v>
      </c>
      <c r="C188" t="s">
        <v>7</v>
      </c>
      <c r="D188" t="s">
        <v>8</v>
      </c>
      <c r="E188">
        <v>145.11000000000001</v>
      </c>
      <c r="F188">
        <v>38</v>
      </c>
      <c r="G188" s="4" t="str">
        <f>_xlfn.XLOOKUP($B188,supplier_data!A:A,supplier_data!B:B)</f>
        <v>Canon</v>
      </c>
    </row>
    <row r="189" spans="1:7" x14ac:dyDescent="0.25">
      <c r="A189" s="1">
        <v>45211</v>
      </c>
      <c r="B189" t="s">
        <v>19</v>
      </c>
      <c r="C189" t="s">
        <v>7</v>
      </c>
      <c r="D189" t="s">
        <v>13</v>
      </c>
      <c r="E189">
        <v>1814.2</v>
      </c>
      <c r="F189">
        <v>50</v>
      </c>
      <c r="G189" s="4" t="str">
        <f>_xlfn.XLOOKUP($B189,supplier_data!A:A,supplier_data!B:B)</f>
        <v>HP</v>
      </c>
    </row>
    <row r="190" spans="1:7" x14ac:dyDescent="0.25">
      <c r="A190" s="1">
        <v>45113</v>
      </c>
      <c r="B190" t="s">
        <v>14</v>
      </c>
      <c r="C190" t="s">
        <v>7</v>
      </c>
      <c r="D190" t="s">
        <v>13</v>
      </c>
      <c r="E190">
        <v>288.08</v>
      </c>
      <c r="F190">
        <v>3</v>
      </c>
      <c r="G190" s="4" t="str">
        <f>_xlfn.XLOOKUP($B190,supplier_data!A:A,supplier_data!B:B)</f>
        <v>LG</v>
      </c>
    </row>
    <row r="191" spans="1:7" x14ac:dyDescent="0.25">
      <c r="A191" s="1">
        <v>45013</v>
      </c>
      <c r="B191" t="s">
        <v>12</v>
      </c>
      <c r="C191" t="s">
        <v>7</v>
      </c>
      <c r="D191" t="s">
        <v>13</v>
      </c>
      <c r="E191">
        <v>160.02000000000001</v>
      </c>
      <c r="F191">
        <v>50</v>
      </c>
      <c r="G191" s="4" t="str">
        <f>_xlfn.XLOOKUP($B191,supplier_data!A:A,supplier_data!B:B)</f>
        <v>Dell</v>
      </c>
    </row>
    <row r="192" spans="1:7" x14ac:dyDescent="0.25">
      <c r="A192" s="1">
        <v>45270</v>
      </c>
      <c r="B192" t="s">
        <v>17</v>
      </c>
      <c r="C192" t="s">
        <v>18</v>
      </c>
      <c r="D192" t="s">
        <v>11</v>
      </c>
      <c r="E192">
        <v>776.48</v>
      </c>
      <c r="F192">
        <v>15</v>
      </c>
      <c r="G192" s="4" t="str">
        <f>_xlfn.XLOOKUP($B192,supplier_data!A:A,supplier_data!B:B)</f>
        <v>Fossil</v>
      </c>
    </row>
    <row r="193" spans="1:7" x14ac:dyDescent="0.25">
      <c r="A193" s="1">
        <v>45073</v>
      </c>
      <c r="B193" t="s">
        <v>21</v>
      </c>
      <c r="C193" t="s">
        <v>7</v>
      </c>
      <c r="D193" t="s">
        <v>13</v>
      </c>
      <c r="E193">
        <v>1667.86</v>
      </c>
      <c r="F193">
        <v>45</v>
      </c>
      <c r="G193" s="4" t="str">
        <f>_xlfn.XLOOKUP($B193,supplier_data!A:A,supplier_data!B:B)</f>
        <v>Sony</v>
      </c>
    </row>
    <row r="194" spans="1:7" x14ac:dyDescent="0.25">
      <c r="A194" s="1">
        <v>44928</v>
      </c>
      <c r="B194" t="s">
        <v>20</v>
      </c>
      <c r="C194" t="s">
        <v>7</v>
      </c>
      <c r="D194" t="s">
        <v>11</v>
      </c>
      <c r="E194">
        <v>825.69</v>
      </c>
      <c r="F194">
        <v>13</v>
      </c>
      <c r="G194" s="4" t="str">
        <f>_xlfn.XLOOKUP($B194,supplier_data!A:A,supplier_data!B:B)</f>
        <v>Logitech</v>
      </c>
    </row>
    <row r="195" spans="1:7" x14ac:dyDescent="0.25">
      <c r="A195" s="1">
        <v>45140</v>
      </c>
      <c r="B195" t="s">
        <v>19</v>
      </c>
      <c r="C195" t="s">
        <v>7</v>
      </c>
      <c r="D195" t="s">
        <v>13</v>
      </c>
      <c r="E195">
        <v>562.04999999999995</v>
      </c>
      <c r="F195">
        <v>5</v>
      </c>
      <c r="G195" s="4" t="str">
        <f>_xlfn.XLOOKUP($B195,supplier_data!A:A,supplier_data!B:B)</f>
        <v>HP</v>
      </c>
    </row>
    <row r="196" spans="1:7" x14ac:dyDescent="0.25">
      <c r="A196" s="1">
        <v>44935</v>
      </c>
      <c r="B196" t="s">
        <v>21</v>
      </c>
      <c r="C196" t="s">
        <v>7</v>
      </c>
      <c r="D196" t="s">
        <v>11</v>
      </c>
      <c r="E196">
        <v>981.8</v>
      </c>
      <c r="F196">
        <v>2</v>
      </c>
      <c r="G196" s="4" t="str">
        <f>_xlfn.XLOOKUP($B196,supplier_data!A:A,supplier_data!B:B)</f>
        <v>Sony</v>
      </c>
    </row>
    <row r="197" spans="1:7" x14ac:dyDescent="0.25">
      <c r="A197" s="1">
        <v>45057</v>
      </c>
      <c r="B197" t="s">
        <v>22</v>
      </c>
      <c r="C197" t="s">
        <v>7</v>
      </c>
      <c r="D197" t="s">
        <v>13</v>
      </c>
      <c r="E197">
        <v>1220.6099999999999</v>
      </c>
      <c r="F197">
        <v>33</v>
      </c>
      <c r="G197" s="4" t="str">
        <f>_xlfn.XLOOKUP($B197,supplier_data!A:A,supplier_data!B:B)</f>
        <v>Apple</v>
      </c>
    </row>
    <row r="198" spans="1:7" x14ac:dyDescent="0.25">
      <c r="A198" s="1">
        <v>45216</v>
      </c>
      <c r="B198" t="s">
        <v>6</v>
      </c>
      <c r="C198" t="s">
        <v>7</v>
      </c>
      <c r="D198" t="s">
        <v>11</v>
      </c>
      <c r="E198">
        <v>1949.06</v>
      </c>
      <c r="F198">
        <v>8</v>
      </c>
      <c r="G198" s="4" t="str">
        <f>_xlfn.XLOOKUP($B198,supplier_data!A:A,supplier_data!B:B)</f>
        <v>Canon</v>
      </c>
    </row>
    <row r="199" spans="1:7" x14ac:dyDescent="0.25">
      <c r="A199" s="1">
        <v>45044</v>
      </c>
      <c r="B199" t="s">
        <v>14</v>
      </c>
      <c r="C199" t="s">
        <v>7</v>
      </c>
      <c r="D199" t="s">
        <v>9</v>
      </c>
      <c r="E199">
        <v>1893.02</v>
      </c>
      <c r="F199">
        <v>6</v>
      </c>
      <c r="G199" s="4" t="str">
        <f>_xlfn.XLOOKUP($B199,supplier_data!A:A,supplier_data!B:B)</f>
        <v>LG</v>
      </c>
    </row>
    <row r="200" spans="1:7" x14ac:dyDescent="0.25">
      <c r="A200" s="1">
        <v>45081</v>
      </c>
      <c r="B200" t="s">
        <v>10</v>
      </c>
      <c r="C200" t="s">
        <v>7</v>
      </c>
      <c r="D200" t="s">
        <v>8</v>
      </c>
      <c r="E200">
        <v>689.29</v>
      </c>
      <c r="F200">
        <v>11</v>
      </c>
      <c r="G200" s="4" t="str">
        <f>_xlfn.XLOOKUP($B200,supplier_data!A:A,supplier_data!B:B)</f>
        <v>Samsung</v>
      </c>
    </row>
    <row r="201" spans="1:7" x14ac:dyDescent="0.25">
      <c r="A201" s="1">
        <v>45256</v>
      </c>
      <c r="B201" t="s">
        <v>15</v>
      </c>
      <c r="C201" t="s">
        <v>16</v>
      </c>
      <c r="D201" t="s">
        <v>9</v>
      </c>
      <c r="E201">
        <v>229.61</v>
      </c>
      <c r="F201">
        <v>19</v>
      </c>
      <c r="G201" s="4" t="str">
        <f>_xlfn.XLOOKUP($B201,supplier_data!A:A,supplier_data!B:B)</f>
        <v>Nike</v>
      </c>
    </row>
    <row r="202" spans="1:7" x14ac:dyDescent="0.25">
      <c r="A202" s="1">
        <v>45175</v>
      </c>
      <c r="B202" t="s">
        <v>15</v>
      </c>
      <c r="C202" t="s">
        <v>16</v>
      </c>
      <c r="D202" t="s">
        <v>9</v>
      </c>
      <c r="E202">
        <v>1420.65</v>
      </c>
      <c r="F202">
        <v>32</v>
      </c>
      <c r="G202" s="4" t="str">
        <f>_xlfn.XLOOKUP($B202,supplier_data!A:A,supplier_data!B:B)</f>
        <v>Nike</v>
      </c>
    </row>
    <row r="203" spans="1:7" x14ac:dyDescent="0.25">
      <c r="A203" s="1">
        <v>44966</v>
      </c>
      <c r="B203" t="s">
        <v>15</v>
      </c>
      <c r="C203" t="s">
        <v>16</v>
      </c>
      <c r="D203" t="s">
        <v>11</v>
      </c>
      <c r="E203">
        <v>1911.95</v>
      </c>
      <c r="F203">
        <v>18</v>
      </c>
      <c r="G203" s="4" t="str">
        <f>_xlfn.XLOOKUP($B203,supplier_data!A:A,supplier_data!B:B)</f>
        <v>Nike</v>
      </c>
    </row>
    <row r="204" spans="1:7" x14ac:dyDescent="0.25">
      <c r="A204" s="1">
        <v>45164</v>
      </c>
      <c r="B204" t="s">
        <v>17</v>
      </c>
      <c r="C204" t="s">
        <v>18</v>
      </c>
      <c r="D204" t="s">
        <v>8</v>
      </c>
      <c r="E204">
        <v>1900.04</v>
      </c>
      <c r="F204">
        <v>29</v>
      </c>
      <c r="G204" s="4" t="str">
        <f>_xlfn.XLOOKUP($B204,supplier_data!A:A,supplier_data!B:B)</f>
        <v>Fossil</v>
      </c>
    </row>
    <row r="205" spans="1:7" x14ac:dyDescent="0.25">
      <c r="A205" s="1">
        <v>45073</v>
      </c>
      <c r="B205" t="s">
        <v>17</v>
      </c>
      <c r="C205" t="s">
        <v>18</v>
      </c>
      <c r="D205" t="s">
        <v>9</v>
      </c>
      <c r="E205">
        <v>898.46</v>
      </c>
      <c r="F205">
        <v>21</v>
      </c>
      <c r="G205" s="4" t="str">
        <f>_xlfn.XLOOKUP($B205,supplier_data!A:A,supplier_data!B:B)</f>
        <v>Fossil</v>
      </c>
    </row>
    <row r="206" spans="1:7" x14ac:dyDescent="0.25">
      <c r="A206" s="1">
        <v>45118</v>
      </c>
      <c r="B206" t="s">
        <v>17</v>
      </c>
      <c r="C206" t="s">
        <v>18</v>
      </c>
      <c r="D206" t="s">
        <v>11</v>
      </c>
      <c r="E206">
        <v>483.24</v>
      </c>
      <c r="F206">
        <v>8</v>
      </c>
      <c r="G206" s="4" t="str">
        <f>_xlfn.XLOOKUP($B206,supplier_data!A:A,supplier_data!B:B)</f>
        <v>Fossil</v>
      </c>
    </row>
    <row r="207" spans="1:7" x14ac:dyDescent="0.25">
      <c r="A207" s="1">
        <v>44951</v>
      </c>
      <c r="B207" t="s">
        <v>22</v>
      </c>
      <c r="C207" t="s">
        <v>7</v>
      </c>
      <c r="D207" t="s">
        <v>8</v>
      </c>
      <c r="E207">
        <v>318.76</v>
      </c>
      <c r="F207">
        <v>15</v>
      </c>
      <c r="G207" s="4" t="str">
        <f>_xlfn.XLOOKUP($B207,supplier_data!A:A,supplier_data!B:B)</f>
        <v>Apple</v>
      </c>
    </row>
    <row r="208" spans="1:7" x14ac:dyDescent="0.25">
      <c r="A208" s="1">
        <v>45045</v>
      </c>
      <c r="B208" t="s">
        <v>6</v>
      </c>
      <c r="C208" t="s">
        <v>7</v>
      </c>
      <c r="D208" t="s">
        <v>9</v>
      </c>
      <c r="E208">
        <v>1892.48</v>
      </c>
      <c r="F208">
        <v>50</v>
      </c>
      <c r="G208" s="4" t="str">
        <f>_xlfn.XLOOKUP($B208,supplier_data!A:A,supplier_data!B:B)</f>
        <v>Canon</v>
      </c>
    </row>
    <row r="209" spans="1:7" x14ac:dyDescent="0.25">
      <c r="A209" s="1">
        <v>45017</v>
      </c>
      <c r="B209" t="s">
        <v>19</v>
      </c>
      <c r="C209" t="s">
        <v>7</v>
      </c>
      <c r="D209" t="s">
        <v>9</v>
      </c>
      <c r="E209">
        <v>1091.94</v>
      </c>
      <c r="F209">
        <v>7</v>
      </c>
      <c r="G209" s="4" t="str">
        <f>_xlfn.XLOOKUP($B209,supplier_data!A:A,supplier_data!B:B)</f>
        <v>HP</v>
      </c>
    </row>
    <row r="210" spans="1:7" x14ac:dyDescent="0.25">
      <c r="A210" s="1">
        <v>45010</v>
      </c>
      <c r="B210" t="s">
        <v>22</v>
      </c>
      <c r="C210" t="s">
        <v>7</v>
      </c>
      <c r="D210" t="s">
        <v>9</v>
      </c>
      <c r="E210">
        <v>1516.16</v>
      </c>
      <c r="F210">
        <v>5</v>
      </c>
      <c r="G210" s="4" t="str">
        <f>_xlfn.XLOOKUP($B210,supplier_data!A:A,supplier_data!B:B)</f>
        <v>Apple</v>
      </c>
    </row>
    <row r="211" spans="1:7" x14ac:dyDescent="0.25">
      <c r="A211" s="1">
        <v>45188</v>
      </c>
      <c r="B211" t="s">
        <v>6</v>
      </c>
      <c r="C211" t="s">
        <v>7</v>
      </c>
      <c r="D211" t="s">
        <v>8</v>
      </c>
      <c r="E211">
        <v>250.62</v>
      </c>
      <c r="F211">
        <v>9</v>
      </c>
      <c r="G211" s="4" t="str">
        <f>_xlfn.XLOOKUP($B211,supplier_data!A:A,supplier_data!B:B)</f>
        <v>Canon</v>
      </c>
    </row>
    <row r="212" spans="1:7" x14ac:dyDescent="0.25">
      <c r="A212" s="1">
        <v>45136</v>
      </c>
      <c r="B212" t="s">
        <v>20</v>
      </c>
      <c r="C212" t="s">
        <v>7</v>
      </c>
      <c r="D212" t="s">
        <v>11</v>
      </c>
      <c r="E212">
        <v>631.41999999999996</v>
      </c>
      <c r="F212">
        <v>36</v>
      </c>
      <c r="G212" s="4" t="str">
        <f>_xlfn.XLOOKUP($B212,supplier_data!A:A,supplier_data!B:B)</f>
        <v>Logitech</v>
      </c>
    </row>
    <row r="213" spans="1:7" x14ac:dyDescent="0.25">
      <c r="A213" s="1">
        <v>45278</v>
      </c>
      <c r="B213" t="s">
        <v>15</v>
      </c>
      <c r="C213" t="s">
        <v>16</v>
      </c>
      <c r="D213" t="s">
        <v>9</v>
      </c>
      <c r="E213">
        <v>230.15</v>
      </c>
      <c r="F213">
        <v>42</v>
      </c>
      <c r="G213" s="4" t="str">
        <f>_xlfn.XLOOKUP($B213,supplier_data!A:A,supplier_data!B:B)</f>
        <v>Nike</v>
      </c>
    </row>
    <row r="214" spans="1:7" x14ac:dyDescent="0.25">
      <c r="A214" s="1">
        <v>44960</v>
      </c>
      <c r="B214" t="s">
        <v>15</v>
      </c>
      <c r="C214" t="s">
        <v>16</v>
      </c>
      <c r="D214" t="s">
        <v>13</v>
      </c>
      <c r="E214">
        <v>1035.73</v>
      </c>
      <c r="F214">
        <v>11</v>
      </c>
      <c r="G214" s="4" t="str">
        <f>_xlfn.XLOOKUP($B214,supplier_data!A:A,supplier_data!B:B)</f>
        <v>Nike</v>
      </c>
    </row>
    <row r="215" spans="1:7" x14ac:dyDescent="0.25">
      <c r="A215" s="1">
        <v>45116</v>
      </c>
      <c r="B215" t="s">
        <v>21</v>
      </c>
      <c r="C215" t="s">
        <v>7</v>
      </c>
      <c r="D215" t="s">
        <v>8</v>
      </c>
      <c r="E215">
        <v>1734.39</v>
      </c>
      <c r="F215">
        <v>25</v>
      </c>
      <c r="G215" s="4" t="str">
        <f>_xlfn.XLOOKUP($B215,supplier_data!A:A,supplier_data!B:B)</f>
        <v>Sony</v>
      </c>
    </row>
    <row r="216" spans="1:7" x14ac:dyDescent="0.25">
      <c r="A216" s="1">
        <v>45000</v>
      </c>
      <c r="B216" t="s">
        <v>19</v>
      </c>
      <c r="C216" t="s">
        <v>7</v>
      </c>
      <c r="D216" t="s">
        <v>9</v>
      </c>
      <c r="E216">
        <v>571.52</v>
      </c>
      <c r="F216">
        <v>23</v>
      </c>
      <c r="G216" s="4" t="str">
        <f>_xlfn.XLOOKUP($B216,supplier_data!A:A,supplier_data!B:B)</f>
        <v>HP</v>
      </c>
    </row>
    <row r="217" spans="1:7" x14ac:dyDescent="0.25">
      <c r="A217" s="1">
        <v>45055</v>
      </c>
      <c r="B217" t="s">
        <v>14</v>
      </c>
      <c r="C217" t="s">
        <v>7</v>
      </c>
      <c r="D217" t="s">
        <v>13</v>
      </c>
      <c r="E217">
        <v>786.59</v>
      </c>
      <c r="F217">
        <v>8</v>
      </c>
      <c r="G217" s="4" t="str">
        <f>_xlfn.XLOOKUP($B217,supplier_data!A:A,supplier_data!B:B)</f>
        <v>LG</v>
      </c>
    </row>
    <row r="218" spans="1:7" x14ac:dyDescent="0.25">
      <c r="A218" s="1">
        <v>45244</v>
      </c>
      <c r="B218" t="s">
        <v>17</v>
      </c>
      <c r="C218" t="s">
        <v>18</v>
      </c>
      <c r="D218" t="s">
        <v>13</v>
      </c>
      <c r="E218">
        <v>722.02</v>
      </c>
      <c r="F218">
        <v>15</v>
      </c>
      <c r="G218" s="4" t="str">
        <f>_xlfn.XLOOKUP($B218,supplier_data!A:A,supplier_data!B:B)</f>
        <v>Fossil</v>
      </c>
    </row>
    <row r="219" spans="1:7" x14ac:dyDescent="0.25">
      <c r="A219" s="1">
        <v>45165</v>
      </c>
      <c r="B219" t="s">
        <v>22</v>
      </c>
      <c r="C219" t="s">
        <v>7</v>
      </c>
      <c r="D219" t="s">
        <v>11</v>
      </c>
      <c r="E219">
        <v>291</v>
      </c>
      <c r="F219">
        <v>44</v>
      </c>
      <c r="G219" s="4" t="str">
        <f>_xlfn.XLOOKUP($B219,supplier_data!A:A,supplier_data!B:B)</f>
        <v>Apple</v>
      </c>
    </row>
    <row r="220" spans="1:7" x14ac:dyDescent="0.25">
      <c r="A220" s="1">
        <v>45081</v>
      </c>
      <c r="B220" t="s">
        <v>21</v>
      </c>
      <c r="C220" t="s">
        <v>7</v>
      </c>
      <c r="D220" t="s">
        <v>11</v>
      </c>
      <c r="E220">
        <v>796.72</v>
      </c>
      <c r="F220">
        <v>46</v>
      </c>
      <c r="G220" s="4" t="str">
        <f>_xlfn.XLOOKUP($B220,supplier_data!A:A,supplier_data!B:B)</f>
        <v>Sony</v>
      </c>
    </row>
    <row r="221" spans="1:7" x14ac:dyDescent="0.25">
      <c r="A221" s="1">
        <v>45130</v>
      </c>
      <c r="B221" t="s">
        <v>21</v>
      </c>
      <c r="C221" t="s">
        <v>7</v>
      </c>
      <c r="D221" t="s">
        <v>8</v>
      </c>
      <c r="E221">
        <v>767.66</v>
      </c>
      <c r="F221">
        <v>4</v>
      </c>
      <c r="G221" s="4" t="str">
        <f>_xlfn.XLOOKUP($B221,supplier_data!A:A,supplier_data!B:B)</f>
        <v>Sony</v>
      </c>
    </row>
    <row r="222" spans="1:7" x14ac:dyDescent="0.25">
      <c r="A222" s="1">
        <v>45274</v>
      </c>
      <c r="B222" t="s">
        <v>6</v>
      </c>
      <c r="C222" t="s">
        <v>7</v>
      </c>
      <c r="D222" t="s">
        <v>11</v>
      </c>
      <c r="E222">
        <v>1070.45</v>
      </c>
      <c r="F222">
        <v>36</v>
      </c>
      <c r="G222" s="4" t="str">
        <f>_xlfn.XLOOKUP($B222,supplier_data!A:A,supplier_data!B:B)</f>
        <v>Canon</v>
      </c>
    </row>
    <row r="223" spans="1:7" x14ac:dyDescent="0.25">
      <c r="A223" s="1">
        <v>44953</v>
      </c>
      <c r="B223" t="s">
        <v>15</v>
      </c>
      <c r="C223" t="s">
        <v>16</v>
      </c>
      <c r="D223" t="s">
        <v>8</v>
      </c>
      <c r="E223">
        <v>853.67</v>
      </c>
      <c r="F223">
        <v>23</v>
      </c>
      <c r="G223" s="4" t="str">
        <f>_xlfn.XLOOKUP($B223,supplier_data!A:A,supplier_data!B:B)</f>
        <v>Nike</v>
      </c>
    </row>
    <row r="224" spans="1:7" x14ac:dyDescent="0.25">
      <c r="A224" s="1">
        <v>45267</v>
      </c>
      <c r="B224" t="s">
        <v>21</v>
      </c>
      <c r="C224" t="s">
        <v>7</v>
      </c>
      <c r="D224" t="s">
        <v>8</v>
      </c>
      <c r="E224">
        <v>1062.77</v>
      </c>
      <c r="F224">
        <v>8</v>
      </c>
      <c r="G224" s="4" t="str">
        <f>_xlfn.XLOOKUP($B224,supplier_data!A:A,supplier_data!B:B)</f>
        <v>Sony</v>
      </c>
    </row>
    <row r="225" spans="1:7" x14ac:dyDescent="0.25">
      <c r="A225" s="1">
        <v>44938</v>
      </c>
      <c r="B225" t="s">
        <v>15</v>
      </c>
      <c r="C225" t="s">
        <v>16</v>
      </c>
      <c r="D225" t="s">
        <v>8</v>
      </c>
      <c r="E225">
        <v>238.92</v>
      </c>
      <c r="F225">
        <v>44</v>
      </c>
      <c r="G225" s="4" t="str">
        <f>_xlfn.XLOOKUP($B225,supplier_data!A:A,supplier_data!B:B)</f>
        <v>Nike</v>
      </c>
    </row>
    <row r="226" spans="1:7" x14ac:dyDescent="0.25">
      <c r="A226" s="1">
        <v>45284</v>
      </c>
      <c r="B226" t="s">
        <v>15</v>
      </c>
      <c r="C226" t="s">
        <v>16</v>
      </c>
      <c r="D226" t="s">
        <v>13</v>
      </c>
      <c r="E226">
        <v>1926.46</v>
      </c>
      <c r="F226">
        <v>6</v>
      </c>
      <c r="G226" s="4" t="str">
        <f>_xlfn.XLOOKUP($B226,supplier_data!A:A,supplier_data!B:B)</f>
        <v>Nike</v>
      </c>
    </row>
    <row r="227" spans="1:7" x14ac:dyDescent="0.25">
      <c r="A227" s="1">
        <v>45177</v>
      </c>
      <c r="B227" t="s">
        <v>19</v>
      </c>
      <c r="C227" t="s">
        <v>7</v>
      </c>
      <c r="D227" t="s">
        <v>9</v>
      </c>
      <c r="E227">
        <v>830.68</v>
      </c>
      <c r="F227">
        <v>13</v>
      </c>
      <c r="G227" s="4" t="str">
        <f>_xlfn.XLOOKUP($B227,supplier_data!A:A,supplier_data!B:B)</f>
        <v>HP</v>
      </c>
    </row>
    <row r="228" spans="1:7" x14ac:dyDescent="0.25">
      <c r="A228" s="1">
        <v>45050</v>
      </c>
      <c r="B228" t="s">
        <v>12</v>
      </c>
      <c r="C228" t="s">
        <v>7</v>
      </c>
      <c r="D228" t="s">
        <v>13</v>
      </c>
      <c r="E228">
        <v>272.38</v>
      </c>
      <c r="F228">
        <v>9</v>
      </c>
      <c r="G228" s="4" t="str">
        <f>_xlfn.XLOOKUP($B228,supplier_data!A:A,supplier_data!B:B)</f>
        <v>Dell</v>
      </c>
    </row>
    <row r="229" spans="1:7" x14ac:dyDescent="0.25">
      <c r="A229" s="1">
        <v>45075</v>
      </c>
      <c r="B229" t="s">
        <v>19</v>
      </c>
      <c r="C229" t="s">
        <v>7</v>
      </c>
      <c r="D229" t="s">
        <v>11</v>
      </c>
      <c r="E229">
        <v>1020</v>
      </c>
      <c r="F229">
        <v>20</v>
      </c>
      <c r="G229" s="4" t="str">
        <f>_xlfn.XLOOKUP($B229,supplier_data!A:A,supplier_data!B:B)</f>
        <v>HP</v>
      </c>
    </row>
    <row r="230" spans="1:7" x14ac:dyDescent="0.25">
      <c r="A230" s="1">
        <v>45245</v>
      </c>
      <c r="B230" t="s">
        <v>15</v>
      </c>
      <c r="C230" t="s">
        <v>16</v>
      </c>
      <c r="D230" t="s">
        <v>9</v>
      </c>
      <c r="E230">
        <v>413.18</v>
      </c>
      <c r="F230">
        <v>46</v>
      </c>
      <c r="G230" s="4" t="str">
        <f>_xlfn.XLOOKUP($B230,supplier_data!A:A,supplier_data!B:B)</f>
        <v>Nike</v>
      </c>
    </row>
    <row r="231" spans="1:7" x14ac:dyDescent="0.25">
      <c r="A231" s="1">
        <v>45273</v>
      </c>
      <c r="B231" t="s">
        <v>22</v>
      </c>
      <c r="C231" t="s">
        <v>7</v>
      </c>
      <c r="D231" t="s">
        <v>8</v>
      </c>
      <c r="E231">
        <v>1149.45</v>
      </c>
      <c r="F231">
        <v>18</v>
      </c>
      <c r="G231" s="4" t="str">
        <f>_xlfn.XLOOKUP($B231,supplier_data!A:A,supplier_data!B:B)</f>
        <v>Apple</v>
      </c>
    </row>
    <row r="232" spans="1:7" x14ac:dyDescent="0.25">
      <c r="A232" s="1">
        <v>45281</v>
      </c>
      <c r="B232" t="s">
        <v>22</v>
      </c>
      <c r="C232" t="s">
        <v>7</v>
      </c>
      <c r="D232" t="s">
        <v>11</v>
      </c>
      <c r="E232">
        <v>1974.17</v>
      </c>
      <c r="F232">
        <v>31</v>
      </c>
      <c r="G232" s="4" t="str">
        <f>_xlfn.XLOOKUP($B232,supplier_data!A:A,supplier_data!B:B)</f>
        <v>Apple</v>
      </c>
    </row>
    <row r="233" spans="1:7" x14ac:dyDescent="0.25">
      <c r="A233" s="1">
        <v>45153</v>
      </c>
      <c r="B233" t="s">
        <v>19</v>
      </c>
      <c r="C233" t="s">
        <v>7</v>
      </c>
      <c r="D233" t="s">
        <v>13</v>
      </c>
      <c r="E233">
        <v>926.2</v>
      </c>
      <c r="F233">
        <v>26</v>
      </c>
      <c r="G233" s="4" t="str">
        <f>_xlfn.XLOOKUP($B233,supplier_data!A:A,supplier_data!B:B)</f>
        <v>HP</v>
      </c>
    </row>
    <row r="234" spans="1:7" x14ac:dyDescent="0.25">
      <c r="A234" s="1">
        <v>45044</v>
      </c>
      <c r="B234" t="s">
        <v>21</v>
      </c>
      <c r="C234" t="s">
        <v>7</v>
      </c>
      <c r="D234" t="s">
        <v>8</v>
      </c>
      <c r="E234">
        <v>1161.26</v>
      </c>
      <c r="F234">
        <v>17</v>
      </c>
      <c r="G234" s="4" t="str">
        <f>_xlfn.XLOOKUP($B234,supplier_data!A:A,supplier_data!B:B)</f>
        <v>Sony</v>
      </c>
    </row>
    <row r="235" spans="1:7" x14ac:dyDescent="0.25">
      <c r="A235" s="1">
        <v>45221</v>
      </c>
      <c r="B235" t="s">
        <v>10</v>
      </c>
      <c r="C235" t="s">
        <v>7</v>
      </c>
      <c r="D235" t="s">
        <v>8</v>
      </c>
      <c r="E235">
        <v>382.65</v>
      </c>
      <c r="F235">
        <v>41</v>
      </c>
      <c r="G235" s="4" t="str">
        <f>_xlfn.XLOOKUP($B235,supplier_data!A:A,supplier_data!B:B)</f>
        <v>Samsung</v>
      </c>
    </row>
    <row r="236" spans="1:7" x14ac:dyDescent="0.25">
      <c r="A236" s="1">
        <v>45004</v>
      </c>
      <c r="B236" t="s">
        <v>6</v>
      </c>
      <c r="C236" t="s">
        <v>7</v>
      </c>
      <c r="D236" t="s">
        <v>13</v>
      </c>
      <c r="E236">
        <v>1826.58</v>
      </c>
      <c r="F236">
        <v>1</v>
      </c>
      <c r="G236" s="4" t="str">
        <f>_xlfn.XLOOKUP($B236,supplier_data!A:A,supplier_data!B:B)</f>
        <v>Canon</v>
      </c>
    </row>
    <row r="237" spans="1:7" x14ac:dyDescent="0.25">
      <c r="A237" s="1">
        <v>45175</v>
      </c>
      <c r="B237" t="s">
        <v>10</v>
      </c>
      <c r="C237" t="s">
        <v>7</v>
      </c>
      <c r="D237" t="s">
        <v>9</v>
      </c>
      <c r="E237">
        <v>1138.56</v>
      </c>
      <c r="F237">
        <v>20</v>
      </c>
      <c r="G237" s="4" t="str">
        <f>_xlfn.XLOOKUP($B237,supplier_data!A:A,supplier_data!B:B)</f>
        <v>Samsung</v>
      </c>
    </row>
    <row r="238" spans="1:7" x14ac:dyDescent="0.25">
      <c r="A238" s="1">
        <v>45237</v>
      </c>
      <c r="B238" t="s">
        <v>14</v>
      </c>
      <c r="C238" t="s">
        <v>7</v>
      </c>
      <c r="D238" t="s">
        <v>8</v>
      </c>
      <c r="E238">
        <v>1848.69</v>
      </c>
      <c r="F238">
        <v>36</v>
      </c>
      <c r="G238" s="4" t="str">
        <f>_xlfn.XLOOKUP($B238,supplier_data!A:A,supplier_data!B:B)</f>
        <v>LG</v>
      </c>
    </row>
    <row r="239" spans="1:7" x14ac:dyDescent="0.25">
      <c r="A239" s="1">
        <v>45105</v>
      </c>
      <c r="B239" t="s">
        <v>22</v>
      </c>
      <c r="C239" t="s">
        <v>7</v>
      </c>
      <c r="D239" t="s">
        <v>11</v>
      </c>
      <c r="E239">
        <v>288.08999999999997</v>
      </c>
      <c r="F239">
        <v>11</v>
      </c>
      <c r="G239" s="4" t="str">
        <f>_xlfn.XLOOKUP($B239,supplier_data!A:A,supplier_data!B:B)</f>
        <v>Apple</v>
      </c>
    </row>
    <row r="240" spans="1:7" x14ac:dyDescent="0.25">
      <c r="A240" s="1">
        <v>44953</v>
      </c>
      <c r="B240" t="s">
        <v>14</v>
      </c>
      <c r="C240" t="s">
        <v>7</v>
      </c>
      <c r="D240" t="s">
        <v>13</v>
      </c>
      <c r="E240">
        <v>1387.34</v>
      </c>
      <c r="F240">
        <v>44</v>
      </c>
      <c r="G240" s="4" t="str">
        <f>_xlfn.XLOOKUP($B240,supplier_data!A:A,supplier_data!B:B)</f>
        <v>LG</v>
      </c>
    </row>
    <row r="241" spans="1:7" x14ac:dyDescent="0.25">
      <c r="A241" s="1">
        <v>45130</v>
      </c>
      <c r="B241" t="s">
        <v>17</v>
      </c>
      <c r="C241" t="s">
        <v>18</v>
      </c>
      <c r="D241" t="s">
        <v>8</v>
      </c>
      <c r="E241">
        <v>689.73</v>
      </c>
      <c r="F241">
        <v>30</v>
      </c>
      <c r="G241" s="4" t="str">
        <f>_xlfn.XLOOKUP($B241,supplier_data!A:A,supplier_data!B:B)</f>
        <v>Fossil</v>
      </c>
    </row>
    <row r="242" spans="1:7" x14ac:dyDescent="0.25">
      <c r="A242" s="1">
        <v>45252</v>
      </c>
      <c r="B242" t="s">
        <v>20</v>
      </c>
      <c r="C242" t="s">
        <v>7</v>
      </c>
      <c r="D242" t="s">
        <v>8</v>
      </c>
      <c r="E242">
        <v>444.4</v>
      </c>
      <c r="F242">
        <v>5</v>
      </c>
      <c r="G242" s="4" t="str">
        <f>_xlfn.XLOOKUP($B242,supplier_data!A:A,supplier_data!B:B)</f>
        <v>Logitech</v>
      </c>
    </row>
    <row r="243" spans="1:7" x14ac:dyDescent="0.25">
      <c r="A243" s="1">
        <v>45279</v>
      </c>
      <c r="B243" t="s">
        <v>22</v>
      </c>
      <c r="C243" t="s">
        <v>7</v>
      </c>
      <c r="D243" t="s">
        <v>8</v>
      </c>
      <c r="E243">
        <v>250.07</v>
      </c>
      <c r="F243">
        <v>42</v>
      </c>
      <c r="G243" s="4" t="str">
        <f>_xlfn.XLOOKUP($B243,supplier_data!A:A,supplier_data!B:B)</f>
        <v>Apple</v>
      </c>
    </row>
    <row r="244" spans="1:7" x14ac:dyDescent="0.25">
      <c r="A244" s="1">
        <v>45011</v>
      </c>
      <c r="B244" t="s">
        <v>22</v>
      </c>
      <c r="C244" t="s">
        <v>7</v>
      </c>
      <c r="D244" t="s">
        <v>11</v>
      </c>
      <c r="E244">
        <v>1526.27</v>
      </c>
      <c r="F244">
        <v>42</v>
      </c>
      <c r="G244" s="4" t="str">
        <f>_xlfn.XLOOKUP($B244,supplier_data!A:A,supplier_data!B:B)</f>
        <v>Apple</v>
      </c>
    </row>
    <row r="245" spans="1:7" x14ac:dyDescent="0.25">
      <c r="A245" s="1">
        <v>45250</v>
      </c>
      <c r="B245" t="s">
        <v>22</v>
      </c>
      <c r="C245" t="s">
        <v>7</v>
      </c>
      <c r="D245" t="s">
        <v>11</v>
      </c>
      <c r="E245">
        <v>1013.47</v>
      </c>
      <c r="F245">
        <v>13</v>
      </c>
      <c r="G245" s="4" t="str">
        <f>_xlfn.XLOOKUP($B245,supplier_data!A:A,supplier_data!B:B)</f>
        <v>Apple</v>
      </c>
    </row>
    <row r="246" spans="1:7" x14ac:dyDescent="0.25">
      <c r="A246" s="1">
        <v>44945</v>
      </c>
      <c r="B246" t="s">
        <v>10</v>
      </c>
      <c r="C246" t="s">
        <v>7</v>
      </c>
      <c r="D246" t="s">
        <v>8</v>
      </c>
      <c r="E246">
        <v>954.86</v>
      </c>
      <c r="F246">
        <v>31</v>
      </c>
      <c r="G246" s="4" t="str">
        <f>_xlfn.XLOOKUP($B246,supplier_data!A:A,supplier_data!B:B)</f>
        <v>Samsung</v>
      </c>
    </row>
    <row r="247" spans="1:7" x14ac:dyDescent="0.25">
      <c r="A247" s="1">
        <v>45256</v>
      </c>
      <c r="B247" t="s">
        <v>12</v>
      </c>
      <c r="C247" t="s">
        <v>7</v>
      </c>
      <c r="D247" t="s">
        <v>9</v>
      </c>
      <c r="E247">
        <v>655.55</v>
      </c>
      <c r="F247">
        <v>18</v>
      </c>
      <c r="G247" s="4" t="str">
        <f>_xlfn.XLOOKUP($B247,supplier_data!A:A,supplier_data!B:B)</f>
        <v>Dell</v>
      </c>
    </row>
    <row r="248" spans="1:7" x14ac:dyDescent="0.25">
      <c r="A248" s="1">
        <v>45010</v>
      </c>
      <c r="B248" t="s">
        <v>6</v>
      </c>
      <c r="C248" t="s">
        <v>7</v>
      </c>
      <c r="D248" t="s">
        <v>13</v>
      </c>
      <c r="E248">
        <v>1314.75</v>
      </c>
      <c r="F248">
        <v>32</v>
      </c>
      <c r="G248" s="4" t="str">
        <f>_xlfn.XLOOKUP($B248,supplier_data!A:A,supplier_data!B:B)</f>
        <v>Canon</v>
      </c>
    </row>
    <row r="249" spans="1:7" x14ac:dyDescent="0.25">
      <c r="A249" s="1">
        <v>45277</v>
      </c>
      <c r="B249" t="s">
        <v>6</v>
      </c>
      <c r="C249" t="s">
        <v>7</v>
      </c>
      <c r="D249" t="s">
        <v>13</v>
      </c>
      <c r="E249">
        <v>1476.34</v>
      </c>
      <c r="F249">
        <v>40</v>
      </c>
      <c r="G249" s="4" t="str">
        <f>_xlfn.XLOOKUP($B249,supplier_data!A:A,supplier_data!B:B)</f>
        <v>Canon</v>
      </c>
    </row>
    <row r="250" spans="1:7" x14ac:dyDescent="0.25">
      <c r="A250" s="1">
        <v>45137</v>
      </c>
      <c r="B250" t="s">
        <v>20</v>
      </c>
      <c r="C250" t="s">
        <v>7</v>
      </c>
      <c r="D250" t="s">
        <v>13</v>
      </c>
      <c r="E250">
        <v>273.97000000000003</v>
      </c>
      <c r="F250">
        <v>45</v>
      </c>
      <c r="G250" s="4" t="str">
        <f>_xlfn.XLOOKUP($B250,supplier_data!A:A,supplier_data!B:B)</f>
        <v>Logitech</v>
      </c>
    </row>
    <row r="251" spans="1:7" x14ac:dyDescent="0.25">
      <c r="A251" s="1">
        <v>45210</v>
      </c>
      <c r="B251" t="s">
        <v>15</v>
      </c>
      <c r="C251" t="s">
        <v>16</v>
      </c>
      <c r="D251" t="s">
        <v>8</v>
      </c>
      <c r="E251">
        <v>285.14999999999998</v>
      </c>
      <c r="F251">
        <v>7</v>
      </c>
      <c r="G251" s="4" t="str">
        <f>_xlfn.XLOOKUP($B251,supplier_data!A:A,supplier_data!B:B)</f>
        <v>Nike</v>
      </c>
    </row>
    <row r="252" spans="1:7" x14ac:dyDescent="0.25">
      <c r="A252" s="1">
        <v>45232</v>
      </c>
      <c r="B252" t="s">
        <v>12</v>
      </c>
      <c r="C252" t="s">
        <v>7</v>
      </c>
      <c r="D252" t="s">
        <v>8</v>
      </c>
      <c r="E252">
        <v>1718.06</v>
      </c>
      <c r="F252">
        <v>14</v>
      </c>
      <c r="G252" s="4" t="str">
        <f>_xlfn.XLOOKUP($B252,supplier_data!A:A,supplier_data!B:B)</f>
        <v>Dell</v>
      </c>
    </row>
    <row r="253" spans="1:7" x14ac:dyDescent="0.25">
      <c r="A253" s="1">
        <v>45097</v>
      </c>
      <c r="B253" t="s">
        <v>19</v>
      </c>
      <c r="C253" t="s">
        <v>7</v>
      </c>
      <c r="D253" t="s">
        <v>9</v>
      </c>
      <c r="E253">
        <v>194.02</v>
      </c>
      <c r="F253">
        <v>30</v>
      </c>
      <c r="G253" s="4" t="str">
        <f>_xlfn.XLOOKUP($B253,supplier_data!A:A,supplier_data!B:B)</f>
        <v>HP</v>
      </c>
    </row>
    <row r="254" spans="1:7" x14ac:dyDescent="0.25">
      <c r="A254" s="1">
        <v>45033</v>
      </c>
      <c r="B254" t="s">
        <v>17</v>
      </c>
      <c r="C254" t="s">
        <v>18</v>
      </c>
      <c r="D254" t="s">
        <v>9</v>
      </c>
      <c r="E254">
        <v>280.37</v>
      </c>
      <c r="F254">
        <v>49</v>
      </c>
      <c r="G254" s="4" t="str">
        <f>_xlfn.XLOOKUP($B254,supplier_data!A:A,supplier_data!B:B)</f>
        <v>Fossil</v>
      </c>
    </row>
    <row r="255" spans="1:7" x14ac:dyDescent="0.25">
      <c r="A255" s="1">
        <v>45049</v>
      </c>
      <c r="B255" t="s">
        <v>21</v>
      </c>
      <c r="C255" t="s">
        <v>7</v>
      </c>
      <c r="D255" t="s">
        <v>8</v>
      </c>
      <c r="E255">
        <v>1281.6400000000001</v>
      </c>
      <c r="F255">
        <v>36</v>
      </c>
      <c r="G255" s="4" t="str">
        <f>_xlfn.XLOOKUP($B255,supplier_data!A:A,supplier_data!B:B)</f>
        <v>Sony</v>
      </c>
    </row>
    <row r="256" spans="1:7" x14ac:dyDescent="0.25">
      <c r="A256" s="1">
        <v>45290</v>
      </c>
      <c r="B256" t="s">
        <v>22</v>
      </c>
      <c r="C256" t="s">
        <v>7</v>
      </c>
      <c r="D256" t="s">
        <v>8</v>
      </c>
      <c r="E256">
        <v>1694.99</v>
      </c>
      <c r="F256">
        <v>28</v>
      </c>
      <c r="G256" s="4" t="str">
        <f>_xlfn.XLOOKUP($B256,supplier_data!A:A,supplier_data!B:B)</f>
        <v>Apple</v>
      </c>
    </row>
    <row r="257" spans="1:7" x14ac:dyDescent="0.25">
      <c r="A257" s="1">
        <v>45221</v>
      </c>
      <c r="B257" t="s">
        <v>10</v>
      </c>
      <c r="C257" t="s">
        <v>7</v>
      </c>
      <c r="D257" t="s">
        <v>9</v>
      </c>
      <c r="E257">
        <v>1934.4</v>
      </c>
      <c r="F257">
        <v>11</v>
      </c>
      <c r="G257" s="4" t="str">
        <f>_xlfn.XLOOKUP($B257,supplier_data!A:A,supplier_data!B:B)</f>
        <v>Samsung</v>
      </c>
    </row>
    <row r="258" spans="1:7" x14ac:dyDescent="0.25">
      <c r="A258" s="1">
        <v>45009</v>
      </c>
      <c r="B258" t="s">
        <v>22</v>
      </c>
      <c r="C258" t="s">
        <v>7</v>
      </c>
      <c r="D258" t="s">
        <v>13</v>
      </c>
      <c r="E258">
        <v>404.84</v>
      </c>
      <c r="F258">
        <v>24</v>
      </c>
      <c r="G258" s="4" t="str">
        <f>_xlfn.XLOOKUP($B258,supplier_data!A:A,supplier_data!B:B)</f>
        <v>Apple</v>
      </c>
    </row>
    <row r="259" spans="1:7" x14ac:dyDescent="0.25">
      <c r="A259" s="1">
        <v>45285</v>
      </c>
      <c r="B259" t="s">
        <v>15</v>
      </c>
      <c r="C259" t="s">
        <v>16</v>
      </c>
      <c r="D259" t="s">
        <v>13</v>
      </c>
      <c r="E259">
        <v>1198.3</v>
      </c>
      <c r="F259">
        <v>5</v>
      </c>
      <c r="G259" s="4" t="str">
        <f>_xlfn.XLOOKUP($B259,supplier_data!A:A,supplier_data!B:B)</f>
        <v>Nike</v>
      </c>
    </row>
    <row r="260" spans="1:7" x14ac:dyDescent="0.25">
      <c r="A260" s="1">
        <v>45172</v>
      </c>
      <c r="B260" t="s">
        <v>15</v>
      </c>
      <c r="C260" t="s">
        <v>16</v>
      </c>
      <c r="D260" t="s">
        <v>13</v>
      </c>
      <c r="E260">
        <v>434.96</v>
      </c>
      <c r="F260">
        <v>14</v>
      </c>
      <c r="G260" s="4" t="str">
        <f>_xlfn.XLOOKUP($B260,supplier_data!A:A,supplier_data!B:B)</f>
        <v>Nike</v>
      </c>
    </row>
    <row r="261" spans="1:7" x14ac:dyDescent="0.25">
      <c r="A261" s="1">
        <v>45158</v>
      </c>
      <c r="B261" t="s">
        <v>19</v>
      </c>
      <c r="C261" t="s">
        <v>7</v>
      </c>
      <c r="D261" t="s">
        <v>11</v>
      </c>
      <c r="E261">
        <v>1826.71</v>
      </c>
      <c r="F261">
        <v>46</v>
      </c>
      <c r="G261" s="4" t="str">
        <f>_xlfn.XLOOKUP($B261,supplier_data!A:A,supplier_data!B:B)</f>
        <v>HP</v>
      </c>
    </row>
    <row r="262" spans="1:7" x14ac:dyDescent="0.25">
      <c r="A262" s="1">
        <v>45039</v>
      </c>
      <c r="B262" t="s">
        <v>12</v>
      </c>
      <c r="C262" t="s">
        <v>7</v>
      </c>
      <c r="D262" t="s">
        <v>11</v>
      </c>
      <c r="E262">
        <v>1868.15</v>
      </c>
      <c r="F262">
        <v>11</v>
      </c>
      <c r="G262" s="4" t="str">
        <f>_xlfn.XLOOKUP($B262,supplier_data!A:A,supplier_data!B:B)</f>
        <v>Dell</v>
      </c>
    </row>
    <row r="263" spans="1:7" x14ac:dyDescent="0.25">
      <c r="A263" s="1">
        <v>45127</v>
      </c>
      <c r="B263" t="s">
        <v>20</v>
      </c>
      <c r="C263" t="s">
        <v>7</v>
      </c>
      <c r="D263" t="s">
        <v>13</v>
      </c>
      <c r="E263">
        <v>1218.31</v>
      </c>
      <c r="F263">
        <v>6</v>
      </c>
      <c r="G263" s="4" t="str">
        <f>_xlfn.XLOOKUP($B263,supplier_data!A:A,supplier_data!B:B)</f>
        <v>Logitech</v>
      </c>
    </row>
    <row r="264" spans="1:7" x14ac:dyDescent="0.25">
      <c r="A264" s="1">
        <v>45075</v>
      </c>
      <c r="B264" t="s">
        <v>17</v>
      </c>
      <c r="C264" t="s">
        <v>18</v>
      </c>
      <c r="D264" t="s">
        <v>9</v>
      </c>
      <c r="E264">
        <v>654.23</v>
      </c>
      <c r="F264">
        <v>14</v>
      </c>
      <c r="G264" s="4" t="str">
        <f>_xlfn.XLOOKUP($B264,supplier_data!A:A,supplier_data!B:B)</f>
        <v>Fossil</v>
      </c>
    </row>
    <row r="265" spans="1:7" x14ac:dyDescent="0.25">
      <c r="A265" s="1">
        <v>45164</v>
      </c>
      <c r="B265" t="s">
        <v>21</v>
      </c>
      <c r="C265" t="s">
        <v>7</v>
      </c>
      <c r="D265" t="s">
        <v>13</v>
      </c>
      <c r="E265">
        <v>923.11</v>
      </c>
      <c r="F265">
        <v>38</v>
      </c>
      <c r="G265" s="4" t="str">
        <f>_xlfn.XLOOKUP($B265,supplier_data!A:A,supplier_data!B:B)</f>
        <v>Sony</v>
      </c>
    </row>
    <row r="266" spans="1:7" x14ac:dyDescent="0.25">
      <c r="A266" s="1">
        <v>45180</v>
      </c>
      <c r="B266" t="s">
        <v>17</v>
      </c>
      <c r="C266" t="s">
        <v>18</v>
      </c>
      <c r="D266" t="s">
        <v>9</v>
      </c>
      <c r="E266">
        <v>554.35</v>
      </c>
      <c r="F266">
        <v>28</v>
      </c>
      <c r="G266" s="4" t="str">
        <f>_xlfn.XLOOKUP($B266,supplier_data!A:A,supplier_data!B:B)</f>
        <v>Fossil</v>
      </c>
    </row>
    <row r="267" spans="1:7" x14ac:dyDescent="0.25">
      <c r="A267" s="1">
        <v>45071</v>
      </c>
      <c r="B267" t="s">
        <v>14</v>
      </c>
      <c r="C267" t="s">
        <v>7</v>
      </c>
      <c r="D267" t="s">
        <v>13</v>
      </c>
      <c r="E267">
        <v>603.29999999999995</v>
      </c>
      <c r="F267">
        <v>3</v>
      </c>
      <c r="G267" s="4" t="str">
        <f>_xlfn.XLOOKUP($B267,supplier_data!A:A,supplier_data!B:B)</f>
        <v>LG</v>
      </c>
    </row>
    <row r="268" spans="1:7" x14ac:dyDescent="0.25">
      <c r="A268" s="1">
        <v>45177</v>
      </c>
      <c r="B268" t="s">
        <v>17</v>
      </c>
      <c r="C268" t="s">
        <v>18</v>
      </c>
      <c r="D268" t="s">
        <v>9</v>
      </c>
      <c r="E268">
        <v>1177.4100000000001</v>
      </c>
      <c r="F268">
        <v>11</v>
      </c>
      <c r="G268" s="4" t="str">
        <f>_xlfn.XLOOKUP($B268,supplier_data!A:A,supplier_data!B:B)</f>
        <v>Fossil</v>
      </c>
    </row>
    <row r="269" spans="1:7" x14ac:dyDescent="0.25">
      <c r="A269" s="1">
        <v>44932</v>
      </c>
      <c r="B269" t="s">
        <v>21</v>
      </c>
      <c r="C269" t="s">
        <v>7</v>
      </c>
      <c r="D269" t="s">
        <v>9</v>
      </c>
      <c r="E269">
        <v>338.46</v>
      </c>
      <c r="F269">
        <v>11</v>
      </c>
      <c r="G269" s="4" t="str">
        <f>_xlfn.XLOOKUP($B269,supplier_data!A:A,supplier_data!B:B)</f>
        <v>Sony</v>
      </c>
    </row>
    <row r="270" spans="1:7" x14ac:dyDescent="0.25">
      <c r="A270" s="1">
        <v>45165</v>
      </c>
      <c r="B270" t="s">
        <v>15</v>
      </c>
      <c r="C270" t="s">
        <v>16</v>
      </c>
      <c r="D270" t="s">
        <v>8</v>
      </c>
      <c r="E270">
        <v>245.61</v>
      </c>
      <c r="F270">
        <v>36</v>
      </c>
      <c r="G270" s="4" t="str">
        <f>_xlfn.XLOOKUP($B270,supplier_data!A:A,supplier_data!B:B)</f>
        <v>Nike</v>
      </c>
    </row>
    <row r="271" spans="1:7" x14ac:dyDescent="0.25">
      <c r="A271" s="1">
        <v>45094</v>
      </c>
      <c r="B271" t="s">
        <v>22</v>
      </c>
      <c r="C271" t="s">
        <v>7</v>
      </c>
      <c r="D271" t="s">
        <v>13</v>
      </c>
      <c r="E271">
        <v>695.63</v>
      </c>
      <c r="F271">
        <v>20</v>
      </c>
      <c r="G271" s="4" t="str">
        <f>_xlfn.XLOOKUP($B271,supplier_data!A:A,supplier_data!B:B)</f>
        <v>Apple</v>
      </c>
    </row>
    <row r="272" spans="1:7" x14ac:dyDescent="0.25">
      <c r="A272" s="1">
        <v>45192</v>
      </c>
      <c r="B272" t="s">
        <v>12</v>
      </c>
      <c r="C272" t="s">
        <v>7</v>
      </c>
      <c r="D272" t="s">
        <v>9</v>
      </c>
      <c r="E272">
        <v>896.22</v>
      </c>
      <c r="F272">
        <v>45</v>
      </c>
      <c r="G272" s="4" t="str">
        <f>_xlfn.XLOOKUP($B272,supplier_data!A:A,supplier_data!B:B)</f>
        <v>Dell</v>
      </c>
    </row>
    <row r="273" spans="1:7" x14ac:dyDescent="0.25">
      <c r="A273" s="1">
        <v>45290</v>
      </c>
      <c r="B273" t="s">
        <v>15</v>
      </c>
      <c r="C273" t="s">
        <v>16</v>
      </c>
      <c r="D273" t="s">
        <v>9</v>
      </c>
      <c r="E273">
        <v>673.1</v>
      </c>
      <c r="F273">
        <v>30</v>
      </c>
      <c r="G273" s="4" t="str">
        <f>_xlfn.XLOOKUP($B273,supplier_data!A:A,supplier_data!B:B)</f>
        <v>Nike</v>
      </c>
    </row>
    <row r="274" spans="1:7" x14ac:dyDescent="0.25">
      <c r="A274" s="1">
        <v>45084</v>
      </c>
      <c r="B274" t="s">
        <v>22</v>
      </c>
      <c r="C274" t="s">
        <v>7</v>
      </c>
      <c r="D274" t="s">
        <v>13</v>
      </c>
      <c r="E274">
        <v>242.15</v>
      </c>
      <c r="F274">
        <v>27</v>
      </c>
      <c r="G274" s="4" t="str">
        <f>_xlfn.XLOOKUP($B274,supplier_data!A:A,supplier_data!B:B)</f>
        <v>Apple</v>
      </c>
    </row>
    <row r="275" spans="1:7" x14ac:dyDescent="0.25">
      <c r="A275" s="1">
        <v>45192</v>
      </c>
      <c r="B275" t="s">
        <v>20</v>
      </c>
      <c r="C275" t="s">
        <v>7</v>
      </c>
      <c r="D275" t="s">
        <v>9</v>
      </c>
      <c r="E275">
        <v>1872.59</v>
      </c>
      <c r="F275">
        <v>32</v>
      </c>
      <c r="G275" s="4" t="str">
        <f>_xlfn.XLOOKUP($B275,supplier_data!A:A,supplier_data!B:B)</f>
        <v>Logitech</v>
      </c>
    </row>
    <row r="276" spans="1:7" x14ac:dyDescent="0.25">
      <c r="A276" s="1">
        <v>45009</v>
      </c>
      <c r="B276" t="s">
        <v>15</v>
      </c>
      <c r="C276" t="s">
        <v>16</v>
      </c>
      <c r="D276" t="s">
        <v>9</v>
      </c>
      <c r="E276">
        <v>1433.61</v>
      </c>
      <c r="F276">
        <v>30</v>
      </c>
      <c r="G276" s="4" t="str">
        <f>_xlfn.XLOOKUP($B276,supplier_data!A:A,supplier_data!B:B)</f>
        <v>Nike</v>
      </c>
    </row>
    <row r="277" spans="1:7" x14ac:dyDescent="0.25">
      <c r="A277" s="1">
        <v>45158</v>
      </c>
      <c r="B277" t="s">
        <v>22</v>
      </c>
      <c r="C277" t="s">
        <v>7</v>
      </c>
      <c r="D277" t="s">
        <v>11</v>
      </c>
      <c r="E277">
        <v>1991.23</v>
      </c>
      <c r="F277">
        <v>21</v>
      </c>
      <c r="G277" s="4" t="str">
        <f>_xlfn.XLOOKUP($B277,supplier_data!A:A,supplier_data!B:B)</f>
        <v>Apple</v>
      </c>
    </row>
    <row r="278" spans="1:7" x14ac:dyDescent="0.25">
      <c r="A278" s="1">
        <v>44999</v>
      </c>
      <c r="B278" t="s">
        <v>21</v>
      </c>
      <c r="C278" t="s">
        <v>7</v>
      </c>
      <c r="D278" t="s">
        <v>13</v>
      </c>
      <c r="E278">
        <v>1669.98</v>
      </c>
      <c r="F278">
        <v>3</v>
      </c>
      <c r="G278" s="4" t="str">
        <f>_xlfn.XLOOKUP($B278,supplier_data!A:A,supplier_data!B:B)</f>
        <v>Sony</v>
      </c>
    </row>
    <row r="279" spans="1:7" x14ac:dyDescent="0.25">
      <c r="A279" s="1">
        <v>45225</v>
      </c>
      <c r="B279" t="s">
        <v>6</v>
      </c>
      <c r="C279" t="s">
        <v>7</v>
      </c>
      <c r="D279" t="s">
        <v>11</v>
      </c>
      <c r="E279">
        <v>594.04999999999995</v>
      </c>
      <c r="F279">
        <v>28</v>
      </c>
      <c r="G279" s="4" t="str">
        <f>_xlfn.XLOOKUP($B279,supplier_data!A:A,supplier_data!B:B)</f>
        <v>Canon</v>
      </c>
    </row>
    <row r="280" spans="1:7" x14ac:dyDescent="0.25">
      <c r="A280" s="1">
        <v>44960</v>
      </c>
      <c r="B280" t="s">
        <v>22</v>
      </c>
      <c r="C280" t="s">
        <v>7</v>
      </c>
      <c r="D280" t="s">
        <v>13</v>
      </c>
      <c r="E280">
        <v>1199.02</v>
      </c>
      <c r="F280">
        <v>8</v>
      </c>
      <c r="G280" s="4" t="str">
        <f>_xlfn.XLOOKUP($B280,supplier_data!A:A,supplier_data!B:B)</f>
        <v>Apple</v>
      </c>
    </row>
    <row r="281" spans="1:7" x14ac:dyDescent="0.25">
      <c r="A281" s="1">
        <v>45039</v>
      </c>
      <c r="B281" t="s">
        <v>6</v>
      </c>
      <c r="C281" t="s">
        <v>7</v>
      </c>
      <c r="D281" t="s">
        <v>8</v>
      </c>
      <c r="E281">
        <v>1491.94</v>
      </c>
      <c r="F281">
        <v>11</v>
      </c>
      <c r="G281" s="4" t="str">
        <f>_xlfn.XLOOKUP($B281,supplier_data!A:A,supplier_data!B:B)</f>
        <v>Canon</v>
      </c>
    </row>
    <row r="282" spans="1:7" x14ac:dyDescent="0.25">
      <c r="A282" s="1">
        <v>45070</v>
      </c>
      <c r="B282" t="s">
        <v>15</v>
      </c>
      <c r="C282" t="s">
        <v>16</v>
      </c>
      <c r="D282" t="s">
        <v>9</v>
      </c>
      <c r="E282">
        <v>1871.23</v>
      </c>
      <c r="F282">
        <v>41</v>
      </c>
      <c r="G282" s="4" t="str">
        <f>_xlfn.XLOOKUP($B282,supplier_data!A:A,supplier_data!B:B)</f>
        <v>Nike</v>
      </c>
    </row>
    <row r="283" spans="1:7" x14ac:dyDescent="0.25">
      <c r="A283" s="1">
        <v>45021</v>
      </c>
      <c r="B283" t="s">
        <v>22</v>
      </c>
      <c r="C283" t="s">
        <v>7</v>
      </c>
      <c r="D283" t="s">
        <v>11</v>
      </c>
      <c r="E283">
        <v>670.83</v>
      </c>
      <c r="F283">
        <v>49</v>
      </c>
      <c r="G283" s="4" t="str">
        <f>_xlfn.XLOOKUP($B283,supplier_data!A:A,supplier_data!B:B)</f>
        <v>Apple</v>
      </c>
    </row>
    <row r="284" spans="1:7" x14ac:dyDescent="0.25">
      <c r="A284" s="1">
        <v>45202</v>
      </c>
      <c r="B284" t="s">
        <v>15</v>
      </c>
      <c r="C284" t="s">
        <v>16</v>
      </c>
      <c r="D284" t="s">
        <v>8</v>
      </c>
      <c r="E284">
        <v>351.2</v>
      </c>
      <c r="F284">
        <v>46</v>
      </c>
      <c r="G284" s="4" t="str">
        <f>_xlfn.XLOOKUP($B284,supplier_data!A:A,supplier_data!B:B)</f>
        <v>Nike</v>
      </c>
    </row>
    <row r="285" spans="1:7" x14ac:dyDescent="0.25">
      <c r="A285" s="1">
        <v>45211</v>
      </c>
      <c r="B285" t="s">
        <v>20</v>
      </c>
      <c r="C285" t="s">
        <v>7</v>
      </c>
      <c r="D285" t="s">
        <v>11</v>
      </c>
      <c r="E285">
        <v>1349.48</v>
      </c>
      <c r="F285">
        <v>24</v>
      </c>
      <c r="G285" s="4" t="str">
        <f>_xlfn.XLOOKUP($B285,supplier_data!A:A,supplier_data!B:B)</f>
        <v>Logitech</v>
      </c>
    </row>
    <row r="286" spans="1:7" x14ac:dyDescent="0.25">
      <c r="A286" s="1">
        <v>44995</v>
      </c>
      <c r="B286" t="s">
        <v>19</v>
      </c>
      <c r="C286" t="s">
        <v>7</v>
      </c>
      <c r="D286" t="s">
        <v>8</v>
      </c>
      <c r="E286">
        <v>1266.78</v>
      </c>
      <c r="F286">
        <v>5</v>
      </c>
      <c r="G286" s="4" t="str">
        <f>_xlfn.XLOOKUP($B286,supplier_data!A:A,supplier_data!B:B)</f>
        <v>HP</v>
      </c>
    </row>
    <row r="287" spans="1:7" x14ac:dyDescent="0.25">
      <c r="A287" s="1">
        <v>45287</v>
      </c>
      <c r="B287" t="s">
        <v>22</v>
      </c>
      <c r="C287" t="s">
        <v>7</v>
      </c>
      <c r="D287" t="s">
        <v>9</v>
      </c>
      <c r="E287">
        <v>674.25</v>
      </c>
      <c r="F287">
        <v>16</v>
      </c>
      <c r="G287" s="4" t="str">
        <f>_xlfn.XLOOKUP($B287,supplier_data!A:A,supplier_data!B:B)</f>
        <v>Apple</v>
      </c>
    </row>
    <row r="288" spans="1:7" x14ac:dyDescent="0.25">
      <c r="A288" s="1">
        <v>45219</v>
      </c>
      <c r="B288" t="s">
        <v>14</v>
      </c>
      <c r="C288" t="s">
        <v>7</v>
      </c>
      <c r="D288" t="s">
        <v>11</v>
      </c>
      <c r="E288">
        <v>900.04</v>
      </c>
      <c r="F288">
        <v>17</v>
      </c>
      <c r="G288" s="4" t="str">
        <f>_xlfn.XLOOKUP($B288,supplier_data!A:A,supplier_data!B:B)</f>
        <v>LG</v>
      </c>
    </row>
    <row r="289" spans="1:7" x14ac:dyDescent="0.25">
      <c r="A289" s="1">
        <v>45122</v>
      </c>
      <c r="B289" t="s">
        <v>6</v>
      </c>
      <c r="C289" t="s">
        <v>7</v>
      </c>
      <c r="D289" t="s">
        <v>8</v>
      </c>
      <c r="E289">
        <v>487.55</v>
      </c>
      <c r="F289">
        <v>13</v>
      </c>
      <c r="G289" s="4" t="str">
        <f>_xlfn.XLOOKUP($B289,supplier_data!A:A,supplier_data!B:B)</f>
        <v>Canon</v>
      </c>
    </row>
    <row r="290" spans="1:7" x14ac:dyDescent="0.25">
      <c r="A290" s="1">
        <v>44950</v>
      </c>
      <c r="B290" t="s">
        <v>21</v>
      </c>
      <c r="C290" t="s">
        <v>7</v>
      </c>
      <c r="D290" t="s">
        <v>9</v>
      </c>
      <c r="E290">
        <v>518.15</v>
      </c>
      <c r="F290">
        <v>19</v>
      </c>
      <c r="G290" s="4" t="str">
        <f>_xlfn.XLOOKUP($B290,supplier_data!A:A,supplier_data!B:B)</f>
        <v>Sony</v>
      </c>
    </row>
    <row r="291" spans="1:7" x14ac:dyDescent="0.25">
      <c r="A291" s="1">
        <v>45029</v>
      </c>
      <c r="B291" t="s">
        <v>19</v>
      </c>
      <c r="C291" t="s">
        <v>7</v>
      </c>
      <c r="D291" t="s">
        <v>8</v>
      </c>
      <c r="E291">
        <v>1810.28</v>
      </c>
      <c r="F291">
        <v>20</v>
      </c>
      <c r="G291" s="4" t="str">
        <f>_xlfn.XLOOKUP($B291,supplier_data!A:A,supplier_data!B:B)</f>
        <v>HP</v>
      </c>
    </row>
    <row r="292" spans="1:7" x14ac:dyDescent="0.25">
      <c r="A292" s="1">
        <v>45235</v>
      </c>
      <c r="B292" t="s">
        <v>15</v>
      </c>
      <c r="C292" t="s">
        <v>16</v>
      </c>
      <c r="D292" t="s">
        <v>9</v>
      </c>
      <c r="E292">
        <v>1670.24</v>
      </c>
      <c r="F292">
        <v>41</v>
      </c>
      <c r="G292" s="4" t="str">
        <f>_xlfn.XLOOKUP($B292,supplier_data!A:A,supplier_data!B:B)</f>
        <v>Nike</v>
      </c>
    </row>
    <row r="293" spans="1:7" x14ac:dyDescent="0.25">
      <c r="A293" s="1">
        <v>44981</v>
      </c>
      <c r="B293" t="s">
        <v>20</v>
      </c>
      <c r="C293" t="s">
        <v>7</v>
      </c>
      <c r="D293" t="s">
        <v>9</v>
      </c>
      <c r="E293">
        <v>1546.52</v>
      </c>
      <c r="F293">
        <v>20</v>
      </c>
      <c r="G293" s="4" t="str">
        <f>_xlfn.XLOOKUP($B293,supplier_data!A:A,supplier_data!B:B)</f>
        <v>Logitech</v>
      </c>
    </row>
    <row r="294" spans="1:7" x14ac:dyDescent="0.25">
      <c r="A294" s="1">
        <v>45243</v>
      </c>
      <c r="B294" t="s">
        <v>21</v>
      </c>
      <c r="C294" t="s">
        <v>7</v>
      </c>
      <c r="D294" t="s">
        <v>9</v>
      </c>
      <c r="E294">
        <v>109.2</v>
      </c>
      <c r="F294">
        <v>45</v>
      </c>
      <c r="G294" s="4" t="str">
        <f>_xlfn.XLOOKUP($B294,supplier_data!A:A,supplier_data!B:B)</f>
        <v>Sony</v>
      </c>
    </row>
    <row r="295" spans="1:7" x14ac:dyDescent="0.25">
      <c r="A295" s="1">
        <v>44953</v>
      </c>
      <c r="B295" t="s">
        <v>14</v>
      </c>
      <c r="C295" t="s">
        <v>7</v>
      </c>
      <c r="D295" t="s">
        <v>8</v>
      </c>
      <c r="E295">
        <v>1066.8499999999999</v>
      </c>
      <c r="F295">
        <v>24</v>
      </c>
      <c r="G295" s="4" t="str">
        <f>_xlfn.XLOOKUP($B295,supplier_data!A:A,supplier_data!B:B)</f>
        <v>LG</v>
      </c>
    </row>
    <row r="296" spans="1:7" x14ac:dyDescent="0.25">
      <c r="A296" s="1">
        <v>45119</v>
      </c>
      <c r="B296" t="s">
        <v>12</v>
      </c>
      <c r="C296" t="s">
        <v>7</v>
      </c>
      <c r="D296" t="s">
        <v>13</v>
      </c>
      <c r="E296">
        <v>140.91</v>
      </c>
      <c r="F296">
        <v>44</v>
      </c>
      <c r="G296" s="4" t="str">
        <f>_xlfn.XLOOKUP($B296,supplier_data!A:A,supplier_data!B:B)</f>
        <v>Dell</v>
      </c>
    </row>
    <row r="297" spans="1:7" x14ac:dyDescent="0.25">
      <c r="A297" s="1">
        <v>44980</v>
      </c>
      <c r="B297" t="s">
        <v>6</v>
      </c>
      <c r="C297" t="s">
        <v>7</v>
      </c>
      <c r="D297" t="s">
        <v>8</v>
      </c>
      <c r="E297">
        <v>1629.63</v>
      </c>
      <c r="F297">
        <v>50</v>
      </c>
      <c r="G297" s="4" t="str">
        <f>_xlfn.XLOOKUP($B297,supplier_data!A:A,supplier_data!B:B)</f>
        <v>Canon</v>
      </c>
    </row>
    <row r="298" spans="1:7" x14ac:dyDescent="0.25">
      <c r="A298" s="1">
        <v>45213</v>
      </c>
      <c r="B298" t="s">
        <v>14</v>
      </c>
      <c r="C298" t="s">
        <v>7</v>
      </c>
      <c r="D298" t="s">
        <v>11</v>
      </c>
      <c r="E298">
        <v>1616.22</v>
      </c>
      <c r="F298">
        <v>48</v>
      </c>
      <c r="G298" s="4" t="str">
        <f>_xlfn.XLOOKUP($B298,supplier_data!A:A,supplier_data!B:B)</f>
        <v>LG</v>
      </c>
    </row>
    <row r="299" spans="1:7" x14ac:dyDescent="0.25">
      <c r="A299" s="1">
        <v>45237</v>
      </c>
      <c r="B299" t="s">
        <v>15</v>
      </c>
      <c r="C299" t="s">
        <v>16</v>
      </c>
      <c r="D299" t="s">
        <v>11</v>
      </c>
      <c r="E299">
        <v>563.04</v>
      </c>
      <c r="F299">
        <v>7</v>
      </c>
      <c r="G299" s="4" t="str">
        <f>_xlfn.XLOOKUP($B299,supplier_data!A:A,supplier_data!B:B)</f>
        <v>Nike</v>
      </c>
    </row>
    <row r="300" spans="1:7" x14ac:dyDescent="0.25">
      <c r="A300" s="1">
        <v>45284</v>
      </c>
      <c r="B300" t="s">
        <v>20</v>
      </c>
      <c r="C300" t="s">
        <v>7</v>
      </c>
      <c r="D300" t="s">
        <v>8</v>
      </c>
      <c r="E300">
        <v>839.93</v>
      </c>
      <c r="F300">
        <v>32</v>
      </c>
      <c r="G300" s="4" t="str">
        <f>_xlfn.XLOOKUP($B300,supplier_data!A:A,supplier_data!B:B)</f>
        <v>Logitech</v>
      </c>
    </row>
    <row r="301" spans="1:7" x14ac:dyDescent="0.25">
      <c r="A301" s="1">
        <v>45229</v>
      </c>
      <c r="B301" t="s">
        <v>14</v>
      </c>
      <c r="C301" t="s">
        <v>7</v>
      </c>
      <c r="D301" t="s">
        <v>8</v>
      </c>
      <c r="E301">
        <v>664.13</v>
      </c>
      <c r="F301">
        <v>32</v>
      </c>
      <c r="G301" s="4" t="str">
        <f>_xlfn.XLOOKUP($B301,supplier_data!A:A,supplier_data!B:B)</f>
        <v>LG</v>
      </c>
    </row>
    <row r="302" spans="1:7" x14ac:dyDescent="0.25">
      <c r="A302" s="1">
        <v>44947</v>
      </c>
      <c r="B302" t="s">
        <v>14</v>
      </c>
      <c r="C302" t="s">
        <v>7</v>
      </c>
      <c r="D302" t="s">
        <v>11</v>
      </c>
      <c r="E302">
        <v>302.41000000000003</v>
      </c>
      <c r="F302">
        <v>30</v>
      </c>
      <c r="G302" s="4" t="str">
        <f>_xlfn.XLOOKUP($B302,supplier_data!A:A,supplier_data!B:B)</f>
        <v>LG</v>
      </c>
    </row>
    <row r="303" spans="1:7" x14ac:dyDescent="0.25">
      <c r="A303" s="1">
        <v>45000</v>
      </c>
      <c r="B303" t="s">
        <v>20</v>
      </c>
      <c r="C303" t="s">
        <v>7</v>
      </c>
      <c r="D303" t="s">
        <v>9</v>
      </c>
      <c r="E303">
        <v>388.71</v>
      </c>
      <c r="F303">
        <v>42</v>
      </c>
      <c r="G303" s="4" t="str">
        <f>_xlfn.XLOOKUP($B303,supplier_data!A:A,supplier_data!B:B)</f>
        <v>Logitech</v>
      </c>
    </row>
    <row r="304" spans="1:7" x14ac:dyDescent="0.25">
      <c r="A304" s="1">
        <v>45113</v>
      </c>
      <c r="B304" t="s">
        <v>21</v>
      </c>
      <c r="C304" t="s">
        <v>7</v>
      </c>
      <c r="D304" t="s">
        <v>9</v>
      </c>
      <c r="E304">
        <v>1135.4000000000001</v>
      </c>
      <c r="F304">
        <v>49</v>
      </c>
      <c r="G304" s="4" t="str">
        <f>_xlfn.XLOOKUP($B304,supplier_data!A:A,supplier_data!B:B)</f>
        <v>Sony</v>
      </c>
    </row>
    <row r="305" spans="1:7" x14ac:dyDescent="0.25">
      <c r="A305" s="1">
        <v>45043</v>
      </c>
      <c r="B305" t="s">
        <v>19</v>
      </c>
      <c r="C305" t="s">
        <v>7</v>
      </c>
      <c r="D305" t="s">
        <v>9</v>
      </c>
      <c r="E305">
        <v>268.67</v>
      </c>
      <c r="F305">
        <v>21</v>
      </c>
      <c r="G305" s="4" t="str">
        <f>_xlfn.XLOOKUP($B305,supplier_data!A:A,supplier_data!B:B)</f>
        <v>HP</v>
      </c>
    </row>
    <row r="306" spans="1:7" x14ac:dyDescent="0.25">
      <c r="A306" s="1">
        <v>44988</v>
      </c>
      <c r="B306" t="s">
        <v>6</v>
      </c>
      <c r="C306" t="s">
        <v>7</v>
      </c>
      <c r="D306" t="s">
        <v>13</v>
      </c>
      <c r="E306">
        <v>1693.8</v>
      </c>
      <c r="F306">
        <v>47</v>
      </c>
      <c r="G306" s="4" t="str">
        <f>_xlfn.XLOOKUP($B306,supplier_data!A:A,supplier_data!B:B)</f>
        <v>Canon</v>
      </c>
    </row>
    <row r="307" spans="1:7" x14ac:dyDescent="0.25">
      <c r="A307" s="1">
        <v>45084</v>
      </c>
      <c r="B307" t="s">
        <v>10</v>
      </c>
      <c r="C307" t="s">
        <v>7</v>
      </c>
      <c r="D307" t="s">
        <v>9</v>
      </c>
      <c r="E307">
        <v>884.01</v>
      </c>
      <c r="F307">
        <v>38</v>
      </c>
      <c r="G307" s="4" t="str">
        <f>_xlfn.XLOOKUP($B307,supplier_data!A:A,supplier_data!B:B)</f>
        <v>Samsung</v>
      </c>
    </row>
    <row r="308" spans="1:7" x14ac:dyDescent="0.25">
      <c r="A308" s="1">
        <v>44979</v>
      </c>
      <c r="B308" t="s">
        <v>17</v>
      </c>
      <c r="C308" t="s">
        <v>18</v>
      </c>
      <c r="D308" t="s">
        <v>8</v>
      </c>
      <c r="E308">
        <v>1405.94</v>
      </c>
      <c r="F308">
        <v>11</v>
      </c>
      <c r="G308" s="4" t="str">
        <f>_xlfn.XLOOKUP($B308,supplier_data!A:A,supplier_data!B:B)</f>
        <v>Fossil</v>
      </c>
    </row>
    <row r="309" spans="1:7" x14ac:dyDescent="0.25">
      <c r="A309" s="1">
        <v>45205</v>
      </c>
      <c r="B309" t="s">
        <v>20</v>
      </c>
      <c r="C309" t="s">
        <v>7</v>
      </c>
      <c r="D309" t="s">
        <v>11</v>
      </c>
      <c r="E309">
        <v>1127.3</v>
      </c>
      <c r="F309">
        <v>28</v>
      </c>
      <c r="G309" s="4" t="str">
        <f>_xlfn.XLOOKUP($B309,supplier_data!A:A,supplier_data!B:B)</f>
        <v>Logitech</v>
      </c>
    </row>
    <row r="310" spans="1:7" x14ac:dyDescent="0.25">
      <c r="A310" s="1">
        <v>45190</v>
      </c>
      <c r="B310" t="s">
        <v>22</v>
      </c>
      <c r="C310" t="s">
        <v>7</v>
      </c>
      <c r="D310" t="s">
        <v>13</v>
      </c>
      <c r="E310">
        <v>1685.05</v>
      </c>
      <c r="F310">
        <v>11</v>
      </c>
      <c r="G310" s="4" t="str">
        <f>_xlfn.XLOOKUP($B310,supplier_data!A:A,supplier_data!B:B)</f>
        <v>Apple</v>
      </c>
    </row>
    <row r="311" spans="1:7" x14ac:dyDescent="0.25">
      <c r="A311" s="1">
        <v>45137</v>
      </c>
      <c r="B311" t="s">
        <v>22</v>
      </c>
      <c r="C311" t="s">
        <v>7</v>
      </c>
      <c r="D311" t="s">
        <v>13</v>
      </c>
      <c r="E311">
        <v>1858.54</v>
      </c>
      <c r="F311">
        <v>2</v>
      </c>
      <c r="G311" s="4" t="str">
        <f>_xlfn.XLOOKUP($B311,supplier_data!A:A,supplier_data!B:B)</f>
        <v>Apple</v>
      </c>
    </row>
    <row r="312" spans="1:7" x14ac:dyDescent="0.25">
      <c r="A312" s="1">
        <v>44943</v>
      </c>
      <c r="B312" t="s">
        <v>17</v>
      </c>
      <c r="C312" t="s">
        <v>18</v>
      </c>
      <c r="D312" t="s">
        <v>11</v>
      </c>
      <c r="E312">
        <v>1231.68</v>
      </c>
      <c r="F312">
        <v>11</v>
      </c>
      <c r="G312" s="4" t="str">
        <f>_xlfn.XLOOKUP($B312,supplier_data!A:A,supplier_data!B:B)</f>
        <v>Fossil</v>
      </c>
    </row>
    <row r="313" spans="1:7" x14ac:dyDescent="0.25">
      <c r="A313" s="1">
        <v>45055</v>
      </c>
      <c r="B313" t="s">
        <v>21</v>
      </c>
      <c r="C313" t="s">
        <v>7</v>
      </c>
      <c r="D313" t="s">
        <v>9</v>
      </c>
      <c r="E313">
        <v>1172.5999999999999</v>
      </c>
      <c r="F313">
        <v>1</v>
      </c>
      <c r="G313" s="4" t="str">
        <f>_xlfn.XLOOKUP($B313,supplier_data!A:A,supplier_data!B:B)</f>
        <v>Sony</v>
      </c>
    </row>
    <row r="314" spans="1:7" x14ac:dyDescent="0.25">
      <c r="A314" s="1">
        <v>45194</v>
      </c>
      <c r="B314" t="s">
        <v>6</v>
      </c>
      <c r="C314" t="s">
        <v>7</v>
      </c>
      <c r="D314" t="s">
        <v>11</v>
      </c>
      <c r="E314">
        <v>647.98</v>
      </c>
      <c r="F314">
        <v>16</v>
      </c>
      <c r="G314" s="4" t="str">
        <f>_xlfn.XLOOKUP($B314,supplier_data!A:A,supplier_data!B:B)</f>
        <v>Canon</v>
      </c>
    </row>
    <row r="315" spans="1:7" x14ac:dyDescent="0.25">
      <c r="A315" s="1">
        <v>45140</v>
      </c>
      <c r="B315" t="s">
        <v>14</v>
      </c>
      <c r="C315" t="s">
        <v>7</v>
      </c>
      <c r="D315" t="s">
        <v>9</v>
      </c>
      <c r="E315">
        <v>1157.94</v>
      </c>
      <c r="F315">
        <v>50</v>
      </c>
      <c r="G315" s="4" t="str">
        <f>_xlfn.XLOOKUP($B315,supplier_data!A:A,supplier_data!B:B)</f>
        <v>LG</v>
      </c>
    </row>
    <row r="316" spans="1:7" x14ac:dyDescent="0.25">
      <c r="A316" s="1">
        <v>45027</v>
      </c>
      <c r="B316" t="s">
        <v>22</v>
      </c>
      <c r="C316" t="s">
        <v>7</v>
      </c>
      <c r="D316" t="s">
        <v>9</v>
      </c>
      <c r="E316">
        <v>323.63</v>
      </c>
      <c r="F316">
        <v>25</v>
      </c>
      <c r="G316" s="4" t="str">
        <f>_xlfn.XLOOKUP($B316,supplier_data!A:A,supplier_data!B:B)</f>
        <v>Apple</v>
      </c>
    </row>
    <row r="317" spans="1:7" x14ac:dyDescent="0.25">
      <c r="A317" s="1">
        <v>45006</v>
      </c>
      <c r="B317" t="s">
        <v>6</v>
      </c>
      <c r="C317" t="s">
        <v>7</v>
      </c>
      <c r="D317" t="s">
        <v>8</v>
      </c>
      <c r="E317">
        <v>1816.52</v>
      </c>
      <c r="F317">
        <v>2</v>
      </c>
      <c r="G317" s="4" t="str">
        <f>_xlfn.XLOOKUP($B317,supplier_data!A:A,supplier_data!B:B)</f>
        <v>Canon</v>
      </c>
    </row>
    <row r="318" spans="1:7" x14ac:dyDescent="0.25">
      <c r="A318" s="1">
        <v>45212</v>
      </c>
      <c r="B318" t="s">
        <v>22</v>
      </c>
      <c r="C318" t="s">
        <v>7</v>
      </c>
      <c r="D318" t="s">
        <v>8</v>
      </c>
      <c r="E318">
        <v>1476.01</v>
      </c>
      <c r="F318">
        <v>16</v>
      </c>
      <c r="G318" s="4" t="str">
        <f>_xlfn.XLOOKUP($B318,supplier_data!A:A,supplier_data!B:B)</f>
        <v>Apple</v>
      </c>
    </row>
    <row r="319" spans="1:7" x14ac:dyDescent="0.25">
      <c r="A319" s="1">
        <v>44957</v>
      </c>
      <c r="B319" t="s">
        <v>17</v>
      </c>
      <c r="C319" t="s">
        <v>18</v>
      </c>
      <c r="D319" t="s">
        <v>9</v>
      </c>
      <c r="E319">
        <v>815.23</v>
      </c>
      <c r="F319">
        <v>5</v>
      </c>
      <c r="G319" s="4" t="str">
        <f>_xlfn.XLOOKUP($B319,supplier_data!A:A,supplier_data!B:B)</f>
        <v>Fossil</v>
      </c>
    </row>
    <row r="320" spans="1:7" x14ac:dyDescent="0.25">
      <c r="A320" s="1">
        <v>45208</v>
      </c>
      <c r="B320" t="s">
        <v>10</v>
      </c>
      <c r="C320" t="s">
        <v>7</v>
      </c>
      <c r="D320" t="s">
        <v>11</v>
      </c>
      <c r="E320">
        <v>952.76</v>
      </c>
      <c r="F320">
        <v>26</v>
      </c>
      <c r="G320" s="4" t="str">
        <f>_xlfn.XLOOKUP($B320,supplier_data!A:A,supplier_data!B:B)</f>
        <v>Samsung</v>
      </c>
    </row>
    <row r="321" spans="1:7" x14ac:dyDescent="0.25">
      <c r="A321" s="1">
        <v>45109</v>
      </c>
      <c r="B321" t="s">
        <v>12</v>
      </c>
      <c r="C321" t="s">
        <v>7</v>
      </c>
      <c r="D321" t="s">
        <v>9</v>
      </c>
      <c r="E321">
        <v>910.74</v>
      </c>
      <c r="F321">
        <v>30</v>
      </c>
      <c r="G321" s="4" t="str">
        <f>_xlfn.XLOOKUP($B321,supplier_data!A:A,supplier_data!B:B)</f>
        <v>Dell</v>
      </c>
    </row>
    <row r="322" spans="1:7" x14ac:dyDescent="0.25">
      <c r="A322" s="1">
        <v>45066</v>
      </c>
      <c r="B322" t="s">
        <v>10</v>
      </c>
      <c r="C322" t="s">
        <v>7</v>
      </c>
      <c r="D322" t="s">
        <v>11</v>
      </c>
      <c r="E322">
        <v>1118.33</v>
      </c>
      <c r="F322">
        <v>29</v>
      </c>
      <c r="G322" s="4" t="str">
        <f>_xlfn.XLOOKUP($B322,supplier_data!A:A,supplier_data!B:B)</f>
        <v>Samsung</v>
      </c>
    </row>
    <row r="323" spans="1:7" x14ac:dyDescent="0.25">
      <c r="A323" s="1">
        <v>45199</v>
      </c>
      <c r="B323" t="s">
        <v>19</v>
      </c>
      <c r="C323" t="s">
        <v>7</v>
      </c>
      <c r="D323" t="s">
        <v>9</v>
      </c>
      <c r="E323">
        <v>146.06</v>
      </c>
      <c r="F323">
        <v>18</v>
      </c>
      <c r="G323" s="4" t="str">
        <f>_xlfn.XLOOKUP($B323,supplier_data!A:A,supplier_data!B:B)</f>
        <v>HP</v>
      </c>
    </row>
    <row r="324" spans="1:7" x14ac:dyDescent="0.25">
      <c r="A324" s="1">
        <v>44954</v>
      </c>
      <c r="B324" t="s">
        <v>6</v>
      </c>
      <c r="C324" t="s">
        <v>7</v>
      </c>
      <c r="D324" t="s">
        <v>9</v>
      </c>
      <c r="E324">
        <v>1136.1300000000001</v>
      </c>
      <c r="F324">
        <v>46</v>
      </c>
      <c r="G324" s="4" t="str">
        <f>_xlfn.XLOOKUP($B324,supplier_data!A:A,supplier_data!B:B)</f>
        <v>Canon</v>
      </c>
    </row>
    <row r="325" spans="1:7" x14ac:dyDescent="0.25">
      <c r="A325" s="1">
        <v>45172</v>
      </c>
      <c r="B325" t="s">
        <v>21</v>
      </c>
      <c r="C325" t="s">
        <v>7</v>
      </c>
      <c r="D325" t="s">
        <v>11</v>
      </c>
      <c r="E325">
        <v>1282.43</v>
      </c>
      <c r="F325">
        <v>47</v>
      </c>
      <c r="G325" s="4" t="str">
        <f>_xlfn.XLOOKUP($B325,supplier_data!A:A,supplier_data!B:B)</f>
        <v>Sony</v>
      </c>
    </row>
    <row r="326" spans="1:7" x14ac:dyDescent="0.25">
      <c r="A326" s="1">
        <v>45045</v>
      </c>
      <c r="B326" t="s">
        <v>15</v>
      </c>
      <c r="C326" t="s">
        <v>16</v>
      </c>
      <c r="D326" t="s">
        <v>8</v>
      </c>
      <c r="E326">
        <v>311.91000000000003</v>
      </c>
      <c r="F326">
        <v>14</v>
      </c>
      <c r="G326" s="4" t="str">
        <f>_xlfn.XLOOKUP($B326,supplier_data!A:A,supplier_data!B:B)</f>
        <v>Nike</v>
      </c>
    </row>
    <row r="327" spans="1:7" x14ac:dyDescent="0.25">
      <c r="A327" s="1">
        <v>45149</v>
      </c>
      <c r="B327" t="s">
        <v>12</v>
      </c>
      <c r="C327" t="s">
        <v>7</v>
      </c>
      <c r="D327" t="s">
        <v>8</v>
      </c>
      <c r="E327">
        <v>274.33</v>
      </c>
      <c r="F327">
        <v>44</v>
      </c>
      <c r="G327" s="4" t="str">
        <f>_xlfn.XLOOKUP($B327,supplier_data!A:A,supplier_data!B:B)</f>
        <v>Dell</v>
      </c>
    </row>
    <row r="328" spans="1:7" x14ac:dyDescent="0.25">
      <c r="A328" s="1">
        <v>45287</v>
      </c>
      <c r="B328" t="s">
        <v>21</v>
      </c>
      <c r="C328" t="s">
        <v>7</v>
      </c>
      <c r="D328" t="s">
        <v>11</v>
      </c>
      <c r="E328">
        <v>191.96</v>
      </c>
      <c r="F328">
        <v>17</v>
      </c>
      <c r="G328" s="4" t="str">
        <f>_xlfn.XLOOKUP($B328,supplier_data!A:A,supplier_data!B:B)</f>
        <v>Sony</v>
      </c>
    </row>
    <row r="329" spans="1:7" x14ac:dyDescent="0.25">
      <c r="A329" s="1">
        <v>45073</v>
      </c>
      <c r="B329" t="s">
        <v>21</v>
      </c>
      <c r="C329" t="s">
        <v>7</v>
      </c>
      <c r="D329" t="s">
        <v>11</v>
      </c>
      <c r="E329">
        <v>808.75</v>
      </c>
      <c r="F329">
        <v>27</v>
      </c>
      <c r="G329" s="4" t="str">
        <f>_xlfn.XLOOKUP($B329,supplier_data!A:A,supplier_data!B:B)</f>
        <v>Sony</v>
      </c>
    </row>
    <row r="330" spans="1:7" x14ac:dyDescent="0.25">
      <c r="A330" s="1">
        <v>45098</v>
      </c>
      <c r="B330" t="s">
        <v>6</v>
      </c>
      <c r="C330" t="s">
        <v>7</v>
      </c>
      <c r="D330" t="s">
        <v>11</v>
      </c>
      <c r="E330">
        <v>1522.75</v>
      </c>
      <c r="F330">
        <v>12</v>
      </c>
      <c r="G330" s="4" t="str">
        <f>_xlfn.XLOOKUP($B330,supplier_data!A:A,supplier_data!B:B)</f>
        <v>Canon</v>
      </c>
    </row>
    <row r="331" spans="1:7" x14ac:dyDescent="0.25">
      <c r="A331" s="1">
        <v>45248</v>
      </c>
      <c r="B331" t="s">
        <v>19</v>
      </c>
      <c r="C331" t="s">
        <v>7</v>
      </c>
      <c r="D331" t="s">
        <v>8</v>
      </c>
      <c r="E331">
        <v>1687.31</v>
      </c>
      <c r="F331">
        <v>34</v>
      </c>
      <c r="G331" s="4" t="str">
        <f>_xlfn.XLOOKUP($B331,supplier_data!A:A,supplier_data!B:B)</f>
        <v>HP</v>
      </c>
    </row>
    <row r="332" spans="1:7" x14ac:dyDescent="0.25">
      <c r="A332" s="1">
        <v>45042</v>
      </c>
      <c r="B332" t="s">
        <v>20</v>
      </c>
      <c r="C332" t="s">
        <v>7</v>
      </c>
      <c r="D332" t="s">
        <v>13</v>
      </c>
      <c r="E332">
        <v>1345.04</v>
      </c>
      <c r="F332">
        <v>6</v>
      </c>
      <c r="G332" s="4" t="str">
        <f>_xlfn.XLOOKUP($B332,supplier_data!A:A,supplier_data!B:B)</f>
        <v>Logitech</v>
      </c>
    </row>
    <row r="333" spans="1:7" x14ac:dyDescent="0.25">
      <c r="A333" s="1">
        <v>44982</v>
      </c>
      <c r="B333" t="s">
        <v>20</v>
      </c>
      <c r="C333" t="s">
        <v>7</v>
      </c>
      <c r="D333" t="s">
        <v>8</v>
      </c>
      <c r="E333">
        <v>1291.73</v>
      </c>
      <c r="F333">
        <v>22</v>
      </c>
      <c r="G333" s="4" t="str">
        <f>_xlfn.XLOOKUP($B333,supplier_data!A:A,supplier_data!B:B)</f>
        <v>Logitech</v>
      </c>
    </row>
    <row r="334" spans="1:7" x14ac:dyDescent="0.25">
      <c r="A334" s="1">
        <v>45017</v>
      </c>
      <c r="B334" t="s">
        <v>10</v>
      </c>
      <c r="C334" t="s">
        <v>7</v>
      </c>
      <c r="D334" t="s">
        <v>13</v>
      </c>
      <c r="E334">
        <v>596.86</v>
      </c>
      <c r="F334">
        <v>2</v>
      </c>
      <c r="G334" s="4" t="str">
        <f>_xlfn.XLOOKUP($B334,supplier_data!A:A,supplier_data!B:B)</f>
        <v>Samsung</v>
      </c>
    </row>
    <row r="335" spans="1:7" x14ac:dyDescent="0.25">
      <c r="A335" s="1">
        <v>45081</v>
      </c>
      <c r="B335" t="s">
        <v>12</v>
      </c>
      <c r="C335" t="s">
        <v>7</v>
      </c>
      <c r="D335" t="s">
        <v>13</v>
      </c>
      <c r="E335">
        <v>966.33</v>
      </c>
      <c r="F335">
        <v>8</v>
      </c>
      <c r="G335" s="4" t="str">
        <f>_xlfn.XLOOKUP($B335,supplier_data!A:A,supplier_data!B:B)</f>
        <v>Dell</v>
      </c>
    </row>
    <row r="336" spans="1:7" x14ac:dyDescent="0.25">
      <c r="A336" s="1">
        <v>45138</v>
      </c>
      <c r="B336" t="s">
        <v>21</v>
      </c>
      <c r="C336" t="s">
        <v>7</v>
      </c>
      <c r="D336" t="s">
        <v>8</v>
      </c>
      <c r="E336">
        <v>1618.12</v>
      </c>
      <c r="F336">
        <v>49</v>
      </c>
      <c r="G336" s="4" t="str">
        <f>_xlfn.XLOOKUP($B336,supplier_data!A:A,supplier_data!B:B)</f>
        <v>Sony</v>
      </c>
    </row>
    <row r="337" spans="1:7" x14ac:dyDescent="0.25">
      <c r="A337" s="1">
        <v>45048</v>
      </c>
      <c r="B337" t="s">
        <v>15</v>
      </c>
      <c r="C337" t="s">
        <v>16</v>
      </c>
      <c r="D337" t="s">
        <v>8</v>
      </c>
      <c r="E337">
        <v>1477.2</v>
      </c>
      <c r="F337">
        <v>39</v>
      </c>
      <c r="G337" s="4" t="str">
        <f>_xlfn.XLOOKUP($B337,supplier_data!A:A,supplier_data!B:B)</f>
        <v>Nike</v>
      </c>
    </row>
    <row r="338" spans="1:7" x14ac:dyDescent="0.25">
      <c r="A338" s="1">
        <v>45077</v>
      </c>
      <c r="B338" t="s">
        <v>10</v>
      </c>
      <c r="C338" t="s">
        <v>7</v>
      </c>
      <c r="D338" t="s">
        <v>8</v>
      </c>
      <c r="E338">
        <v>528.1</v>
      </c>
      <c r="F338">
        <v>29</v>
      </c>
      <c r="G338" s="4" t="str">
        <f>_xlfn.XLOOKUP($B338,supplier_data!A:A,supplier_data!B:B)</f>
        <v>Samsung</v>
      </c>
    </row>
    <row r="339" spans="1:7" x14ac:dyDescent="0.25">
      <c r="A339" s="1">
        <v>45014</v>
      </c>
      <c r="B339" t="s">
        <v>21</v>
      </c>
      <c r="C339" t="s">
        <v>7</v>
      </c>
      <c r="D339" t="s">
        <v>11</v>
      </c>
      <c r="E339">
        <v>355.69</v>
      </c>
      <c r="F339">
        <v>36</v>
      </c>
      <c r="G339" s="4" t="str">
        <f>_xlfn.XLOOKUP($B339,supplier_data!A:A,supplier_data!B:B)</f>
        <v>Sony</v>
      </c>
    </row>
    <row r="340" spans="1:7" x14ac:dyDescent="0.25">
      <c r="A340" s="1">
        <v>45281</v>
      </c>
      <c r="B340" t="s">
        <v>15</v>
      </c>
      <c r="C340" t="s">
        <v>16</v>
      </c>
      <c r="D340" t="s">
        <v>9</v>
      </c>
      <c r="E340">
        <v>928.15</v>
      </c>
      <c r="F340">
        <v>5</v>
      </c>
      <c r="G340" s="4" t="str">
        <f>_xlfn.XLOOKUP($B340,supplier_data!A:A,supplier_data!B:B)</f>
        <v>Nike</v>
      </c>
    </row>
    <row r="341" spans="1:7" x14ac:dyDescent="0.25">
      <c r="A341" s="1">
        <v>44927</v>
      </c>
      <c r="B341" t="s">
        <v>20</v>
      </c>
      <c r="C341" t="s">
        <v>7</v>
      </c>
      <c r="D341" t="s">
        <v>13</v>
      </c>
      <c r="E341">
        <v>1986.95</v>
      </c>
      <c r="F341">
        <v>27</v>
      </c>
      <c r="G341" s="4" t="str">
        <f>_xlfn.XLOOKUP($B341,supplier_data!A:A,supplier_data!B:B)</f>
        <v>Logitech</v>
      </c>
    </row>
    <row r="342" spans="1:7" x14ac:dyDescent="0.25">
      <c r="A342" s="1">
        <v>45177</v>
      </c>
      <c r="B342" t="s">
        <v>15</v>
      </c>
      <c r="C342" t="s">
        <v>16</v>
      </c>
      <c r="D342" t="s">
        <v>11</v>
      </c>
      <c r="E342">
        <v>1216.78</v>
      </c>
      <c r="F342">
        <v>4</v>
      </c>
      <c r="G342" s="4" t="str">
        <f>_xlfn.XLOOKUP($B342,supplier_data!A:A,supplier_data!B:B)</f>
        <v>Nike</v>
      </c>
    </row>
    <row r="343" spans="1:7" x14ac:dyDescent="0.25">
      <c r="A343" s="1">
        <v>45007</v>
      </c>
      <c r="B343" t="s">
        <v>14</v>
      </c>
      <c r="C343" t="s">
        <v>7</v>
      </c>
      <c r="D343" t="s">
        <v>9</v>
      </c>
      <c r="E343">
        <v>551.5</v>
      </c>
      <c r="F343">
        <v>35</v>
      </c>
      <c r="G343" s="4" t="str">
        <f>_xlfn.XLOOKUP($B343,supplier_data!A:A,supplier_data!B:B)</f>
        <v>LG</v>
      </c>
    </row>
    <row r="344" spans="1:7" x14ac:dyDescent="0.25">
      <c r="A344" s="1">
        <v>45203</v>
      </c>
      <c r="B344" t="s">
        <v>17</v>
      </c>
      <c r="C344" t="s">
        <v>18</v>
      </c>
      <c r="D344" t="s">
        <v>13</v>
      </c>
      <c r="E344">
        <v>1267.42</v>
      </c>
      <c r="F344">
        <v>37</v>
      </c>
      <c r="G344" s="4" t="str">
        <f>_xlfn.XLOOKUP($B344,supplier_data!A:A,supplier_data!B:B)</f>
        <v>Fossil</v>
      </c>
    </row>
    <row r="345" spans="1:7" x14ac:dyDescent="0.25">
      <c r="A345" s="1">
        <v>44999</v>
      </c>
      <c r="B345" t="s">
        <v>20</v>
      </c>
      <c r="C345" t="s">
        <v>7</v>
      </c>
      <c r="D345" t="s">
        <v>9</v>
      </c>
      <c r="E345">
        <v>474.1</v>
      </c>
      <c r="F345">
        <v>31</v>
      </c>
      <c r="G345" s="4" t="str">
        <f>_xlfn.XLOOKUP($B345,supplier_data!A:A,supplier_data!B:B)</f>
        <v>Logitech</v>
      </c>
    </row>
    <row r="346" spans="1:7" x14ac:dyDescent="0.25">
      <c r="A346" s="1">
        <v>45164</v>
      </c>
      <c r="B346" t="s">
        <v>17</v>
      </c>
      <c r="C346" t="s">
        <v>18</v>
      </c>
      <c r="D346" t="s">
        <v>8</v>
      </c>
      <c r="E346">
        <v>1913.69</v>
      </c>
      <c r="F346">
        <v>47</v>
      </c>
      <c r="G346" s="4" t="str">
        <f>_xlfn.XLOOKUP($B346,supplier_data!A:A,supplier_data!B:B)</f>
        <v>Fossil</v>
      </c>
    </row>
    <row r="347" spans="1:7" x14ac:dyDescent="0.25">
      <c r="A347" s="1">
        <v>45056</v>
      </c>
      <c r="B347" t="s">
        <v>20</v>
      </c>
      <c r="C347" t="s">
        <v>7</v>
      </c>
      <c r="D347" t="s">
        <v>9</v>
      </c>
      <c r="E347">
        <v>107.53</v>
      </c>
      <c r="F347">
        <v>47</v>
      </c>
      <c r="G347" s="4" t="str">
        <f>_xlfn.XLOOKUP($B347,supplier_data!A:A,supplier_data!B:B)</f>
        <v>Logitech</v>
      </c>
    </row>
    <row r="348" spans="1:7" x14ac:dyDescent="0.25">
      <c r="A348" s="1">
        <v>45114</v>
      </c>
      <c r="B348" t="s">
        <v>15</v>
      </c>
      <c r="C348" t="s">
        <v>16</v>
      </c>
      <c r="D348" t="s">
        <v>11</v>
      </c>
      <c r="E348">
        <v>1264.95</v>
      </c>
      <c r="F348">
        <v>41</v>
      </c>
      <c r="G348" s="4" t="str">
        <f>_xlfn.XLOOKUP($B348,supplier_data!A:A,supplier_data!B:B)</f>
        <v>Nike</v>
      </c>
    </row>
    <row r="349" spans="1:7" x14ac:dyDescent="0.25">
      <c r="A349" s="1">
        <v>44989</v>
      </c>
      <c r="B349" t="s">
        <v>14</v>
      </c>
      <c r="C349" t="s">
        <v>7</v>
      </c>
      <c r="D349" t="s">
        <v>13</v>
      </c>
      <c r="E349">
        <v>1014.88</v>
      </c>
      <c r="F349">
        <v>25</v>
      </c>
      <c r="G349" s="4" t="str">
        <f>_xlfn.XLOOKUP($B349,supplier_data!A:A,supplier_data!B:B)</f>
        <v>LG</v>
      </c>
    </row>
    <row r="350" spans="1:7" x14ac:dyDescent="0.25">
      <c r="A350" s="1">
        <v>44932</v>
      </c>
      <c r="B350" t="s">
        <v>10</v>
      </c>
      <c r="C350" t="s">
        <v>7</v>
      </c>
      <c r="D350" t="s">
        <v>11</v>
      </c>
      <c r="E350">
        <v>1475.08</v>
      </c>
      <c r="F350">
        <v>22</v>
      </c>
      <c r="G350" s="4" t="str">
        <f>_xlfn.XLOOKUP($B350,supplier_data!A:A,supplier_data!B:B)</f>
        <v>Samsung</v>
      </c>
    </row>
    <row r="351" spans="1:7" x14ac:dyDescent="0.25">
      <c r="A351" s="1">
        <v>45001</v>
      </c>
      <c r="B351" t="s">
        <v>17</v>
      </c>
      <c r="C351" t="s">
        <v>18</v>
      </c>
      <c r="D351" t="s">
        <v>13</v>
      </c>
      <c r="E351">
        <v>205.87</v>
      </c>
      <c r="F351">
        <v>1</v>
      </c>
      <c r="G351" s="4" t="str">
        <f>_xlfn.XLOOKUP($B351,supplier_data!A:A,supplier_data!B:B)</f>
        <v>Fossil</v>
      </c>
    </row>
    <row r="352" spans="1:7" x14ac:dyDescent="0.25">
      <c r="A352" s="1">
        <v>45258</v>
      </c>
      <c r="B352" t="s">
        <v>19</v>
      </c>
      <c r="C352" t="s">
        <v>7</v>
      </c>
      <c r="D352" t="s">
        <v>11</v>
      </c>
      <c r="E352">
        <v>1550.85</v>
      </c>
      <c r="F352">
        <v>1</v>
      </c>
      <c r="G352" s="4" t="str">
        <f>_xlfn.XLOOKUP($B352,supplier_data!A:A,supplier_data!B:B)</f>
        <v>HP</v>
      </c>
    </row>
    <row r="353" spans="1:7" x14ac:dyDescent="0.25">
      <c r="A353" s="1">
        <v>44996</v>
      </c>
      <c r="B353" t="s">
        <v>10</v>
      </c>
      <c r="C353" t="s">
        <v>7</v>
      </c>
      <c r="D353" t="s">
        <v>8</v>
      </c>
      <c r="E353">
        <v>239.78</v>
      </c>
      <c r="F353">
        <v>46</v>
      </c>
      <c r="G353" s="4" t="str">
        <f>_xlfn.XLOOKUP($B353,supplier_data!A:A,supplier_data!B:B)</f>
        <v>Samsung</v>
      </c>
    </row>
    <row r="354" spans="1:7" x14ac:dyDescent="0.25">
      <c r="A354" s="1">
        <v>44934</v>
      </c>
      <c r="B354" t="s">
        <v>10</v>
      </c>
      <c r="C354" t="s">
        <v>7</v>
      </c>
      <c r="D354" t="s">
        <v>13</v>
      </c>
      <c r="E354">
        <v>370.22</v>
      </c>
      <c r="F354">
        <v>11</v>
      </c>
      <c r="G354" s="4" t="str">
        <f>_xlfn.XLOOKUP($B354,supplier_data!A:A,supplier_data!B:B)</f>
        <v>Samsung</v>
      </c>
    </row>
    <row r="355" spans="1:7" x14ac:dyDescent="0.25">
      <c r="A355" s="1">
        <v>45219</v>
      </c>
      <c r="B355" t="s">
        <v>17</v>
      </c>
      <c r="C355" t="s">
        <v>18</v>
      </c>
      <c r="D355" t="s">
        <v>9</v>
      </c>
      <c r="E355">
        <v>1796.27</v>
      </c>
      <c r="F355">
        <v>31</v>
      </c>
      <c r="G355" s="4" t="str">
        <f>_xlfn.XLOOKUP($B355,supplier_data!A:A,supplier_data!B:B)</f>
        <v>Fossil</v>
      </c>
    </row>
    <row r="356" spans="1:7" x14ac:dyDescent="0.25">
      <c r="A356" s="1">
        <v>45090</v>
      </c>
      <c r="B356" t="s">
        <v>17</v>
      </c>
      <c r="C356" t="s">
        <v>18</v>
      </c>
      <c r="D356" t="s">
        <v>8</v>
      </c>
      <c r="E356">
        <v>424.54</v>
      </c>
      <c r="F356">
        <v>38</v>
      </c>
      <c r="G356" s="4" t="str">
        <f>_xlfn.XLOOKUP($B356,supplier_data!A:A,supplier_data!B:B)</f>
        <v>Fossil</v>
      </c>
    </row>
    <row r="357" spans="1:7" x14ac:dyDescent="0.25">
      <c r="A357" s="1">
        <v>45210</v>
      </c>
      <c r="B357" t="s">
        <v>19</v>
      </c>
      <c r="C357" t="s">
        <v>7</v>
      </c>
      <c r="D357" t="s">
        <v>8</v>
      </c>
      <c r="E357">
        <v>1344.83</v>
      </c>
      <c r="F357">
        <v>5</v>
      </c>
      <c r="G357" s="4" t="str">
        <f>_xlfn.XLOOKUP($B357,supplier_data!A:A,supplier_data!B:B)</f>
        <v>HP</v>
      </c>
    </row>
    <row r="358" spans="1:7" x14ac:dyDescent="0.25">
      <c r="A358" s="1">
        <v>45193</v>
      </c>
      <c r="B358" t="s">
        <v>19</v>
      </c>
      <c r="C358" t="s">
        <v>7</v>
      </c>
      <c r="D358" t="s">
        <v>9</v>
      </c>
      <c r="E358">
        <v>213.29</v>
      </c>
      <c r="F358">
        <v>16</v>
      </c>
      <c r="G358" s="4" t="str">
        <f>_xlfn.XLOOKUP($B358,supplier_data!A:A,supplier_data!B:B)</f>
        <v>HP</v>
      </c>
    </row>
    <row r="359" spans="1:7" x14ac:dyDescent="0.25">
      <c r="A359" s="1">
        <v>45110</v>
      </c>
      <c r="B359" t="s">
        <v>15</v>
      </c>
      <c r="C359" t="s">
        <v>16</v>
      </c>
      <c r="D359" t="s">
        <v>13</v>
      </c>
      <c r="E359">
        <v>1215.3900000000001</v>
      </c>
      <c r="F359">
        <v>19</v>
      </c>
      <c r="G359" s="4" t="str">
        <f>_xlfn.XLOOKUP($B359,supplier_data!A:A,supplier_data!B:B)</f>
        <v>Nike</v>
      </c>
    </row>
    <row r="360" spans="1:7" x14ac:dyDescent="0.25">
      <c r="A360" s="1">
        <v>45082</v>
      </c>
      <c r="B360" t="s">
        <v>12</v>
      </c>
      <c r="C360" t="s">
        <v>7</v>
      </c>
      <c r="D360" t="s">
        <v>9</v>
      </c>
      <c r="E360">
        <v>1770.61</v>
      </c>
      <c r="F360">
        <v>28</v>
      </c>
      <c r="G360" s="4" t="str">
        <f>_xlfn.XLOOKUP($B360,supplier_data!A:A,supplier_data!B:B)</f>
        <v>Dell</v>
      </c>
    </row>
    <row r="361" spans="1:7" x14ac:dyDescent="0.25">
      <c r="A361" s="1">
        <v>45035</v>
      </c>
      <c r="B361" t="s">
        <v>20</v>
      </c>
      <c r="C361" t="s">
        <v>7</v>
      </c>
      <c r="D361" t="s">
        <v>8</v>
      </c>
      <c r="E361">
        <v>1337.88</v>
      </c>
      <c r="F361">
        <v>10</v>
      </c>
      <c r="G361" s="4" t="str">
        <f>_xlfn.XLOOKUP($B361,supplier_data!A:A,supplier_data!B:B)</f>
        <v>Logitech</v>
      </c>
    </row>
    <row r="362" spans="1:7" x14ac:dyDescent="0.25">
      <c r="A362" s="1">
        <v>45285</v>
      </c>
      <c r="B362" t="s">
        <v>21</v>
      </c>
      <c r="C362" t="s">
        <v>7</v>
      </c>
      <c r="D362" t="s">
        <v>13</v>
      </c>
      <c r="E362">
        <v>501.72</v>
      </c>
      <c r="F362">
        <v>1</v>
      </c>
      <c r="G362" s="4" t="str">
        <f>_xlfn.XLOOKUP($B362,supplier_data!A:A,supplier_data!B:B)</f>
        <v>Sony</v>
      </c>
    </row>
    <row r="363" spans="1:7" x14ac:dyDescent="0.25">
      <c r="A363" s="1">
        <v>44952</v>
      </c>
      <c r="B363" t="s">
        <v>17</v>
      </c>
      <c r="C363" t="s">
        <v>18</v>
      </c>
      <c r="D363" t="s">
        <v>9</v>
      </c>
      <c r="E363">
        <v>1328.04</v>
      </c>
      <c r="F363">
        <v>42</v>
      </c>
      <c r="G363" s="4" t="str">
        <f>_xlfn.XLOOKUP($B363,supplier_data!A:A,supplier_data!B:B)</f>
        <v>Fossil</v>
      </c>
    </row>
    <row r="364" spans="1:7" x14ac:dyDescent="0.25">
      <c r="A364" s="1">
        <v>45110</v>
      </c>
      <c r="B364" t="s">
        <v>21</v>
      </c>
      <c r="C364" t="s">
        <v>7</v>
      </c>
      <c r="D364" t="s">
        <v>13</v>
      </c>
      <c r="E364">
        <v>1703.98</v>
      </c>
      <c r="F364">
        <v>23</v>
      </c>
      <c r="G364" s="4" t="str">
        <f>_xlfn.XLOOKUP($B364,supplier_data!A:A,supplier_data!B:B)</f>
        <v>Sony</v>
      </c>
    </row>
    <row r="365" spans="1:7" x14ac:dyDescent="0.25">
      <c r="A365" s="1">
        <v>45130</v>
      </c>
      <c r="B365" t="s">
        <v>22</v>
      </c>
      <c r="C365" t="s">
        <v>7</v>
      </c>
      <c r="D365" t="s">
        <v>11</v>
      </c>
      <c r="E365">
        <v>1824.63</v>
      </c>
      <c r="F365">
        <v>8</v>
      </c>
      <c r="G365" s="4" t="str">
        <f>_xlfn.XLOOKUP($B365,supplier_data!A:A,supplier_data!B:B)</f>
        <v>Apple</v>
      </c>
    </row>
    <row r="366" spans="1:7" x14ac:dyDescent="0.25">
      <c r="A366" s="1">
        <v>45200</v>
      </c>
      <c r="B366" t="s">
        <v>21</v>
      </c>
      <c r="C366" t="s">
        <v>7</v>
      </c>
      <c r="D366" t="s">
        <v>13</v>
      </c>
      <c r="E366">
        <v>1072.8499999999999</v>
      </c>
      <c r="F366">
        <v>10</v>
      </c>
      <c r="G366" s="4" t="str">
        <f>_xlfn.XLOOKUP($B366,supplier_data!A:A,supplier_data!B:B)</f>
        <v>Sony</v>
      </c>
    </row>
    <row r="367" spans="1:7" x14ac:dyDescent="0.25">
      <c r="A367" s="1">
        <v>45159</v>
      </c>
      <c r="B367" t="s">
        <v>10</v>
      </c>
      <c r="C367" t="s">
        <v>7</v>
      </c>
      <c r="D367" t="s">
        <v>13</v>
      </c>
      <c r="E367">
        <v>346.56</v>
      </c>
      <c r="F367">
        <v>41</v>
      </c>
      <c r="G367" s="4" t="str">
        <f>_xlfn.XLOOKUP($B367,supplier_data!A:A,supplier_data!B:B)</f>
        <v>Samsung</v>
      </c>
    </row>
    <row r="368" spans="1:7" x14ac:dyDescent="0.25">
      <c r="A368" s="1">
        <v>45241</v>
      </c>
      <c r="B368" t="s">
        <v>22</v>
      </c>
      <c r="C368" t="s">
        <v>7</v>
      </c>
      <c r="D368" t="s">
        <v>11</v>
      </c>
      <c r="E368">
        <v>1227.6400000000001</v>
      </c>
      <c r="F368">
        <v>30</v>
      </c>
      <c r="G368" s="4" t="str">
        <f>_xlfn.XLOOKUP($B368,supplier_data!A:A,supplier_data!B:B)</f>
        <v>Apple</v>
      </c>
    </row>
    <row r="369" spans="1:7" x14ac:dyDescent="0.25">
      <c r="A369" s="1">
        <v>45132</v>
      </c>
      <c r="B369" t="s">
        <v>21</v>
      </c>
      <c r="C369" t="s">
        <v>7</v>
      </c>
      <c r="D369" t="s">
        <v>11</v>
      </c>
      <c r="E369">
        <v>430.71</v>
      </c>
      <c r="F369">
        <v>40</v>
      </c>
      <c r="G369" s="4" t="str">
        <f>_xlfn.XLOOKUP($B369,supplier_data!A:A,supplier_data!B:B)</f>
        <v>Sony</v>
      </c>
    </row>
    <row r="370" spans="1:7" x14ac:dyDescent="0.25">
      <c r="A370" s="1">
        <v>45040</v>
      </c>
      <c r="B370" t="s">
        <v>14</v>
      </c>
      <c r="C370" t="s">
        <v>7</v>
      </c>
      <c r="D370" t="s">
        <v>13</v>
      </c>
      <c r="E370">
        <v>1995.49</v>
      </c>
      <c r="F370">
        <v>8</v>
      </c>
      <c r="G370" s="4" t="str">
        <f>_xlfn.XLOOKUP($B370,supplier_data!A:A,supplier_data!B:B)</f>
        <v>LG</v>
      </c>
    </row>
    <row r="371" spans="1:7" x14ac:dyDescent="0.25">
      <c r="A371" s="1">
        <v>45026</v>
      </c>
      <c r="B371" t="s">
        <v>14</v>
      </c>
      <c r="C371" t="s">
        <v>7</v>
      </c>
      <c r="D371" t="s">
        <v>8</v>
      </c>
      <c r="E371">
        <v>264.72000000000003</v>
      </c>
      <c r="F371">
        <v>34</v>
      </c>
      <c r="G371" s="4" t="str">
        <f>_xlfn.XLOOKUP($B371,supplier_data!A:A,supplier_data!B:B)</f>
        <v>LG</v>
      </c>
    </row>
    <row r="372" spans="1:7" x14ac:dyDescent="0.25">
      <c r="A372" s="1">
        <v>44951</v>
      </c>
      <c r="B372" t="s">
        <v>22</v>
      </c>
      <c r="C372" t="s">
        <v>7</v>
      </c>
      <c r="D372" t="s">
        <v>8</v>
      </c>
      <c r="E372">
        <v>1471.73</v>
      </c>
      <c r="F372">
        <v>21</v>
      </c>
      <c r="G372" s="4" t="str">
        <f>_xlfn.XLOOKUP($B372,supplier_data!A:A,supplier_data!B:B)</f>
        <v>Apple</v>
      </c>
    </row>
    <row r="373" spans="1:7" x14ac:dyDescent="0.25">
      <c r="A373" s="1">
        <v>45135</v>
      </c>
      <c r="B373" t="s">
        <v>22</v>
      </c>
      <c r="C373" t="s">
        <v>7</v>
      </c>
      <c r="D373" t="s">
        <v>11</v>
      </c>
      <c r="E373">
        <v>1093.21</v>
      </c>
      <c r="F373">
        <v>1</v>
      </c>
      <c r="G373" s="4" t="str">
        <f>_xlfn.XLOOKUP($B373,supplier_data!A:A,supplier_data!B:B)</f>
        <v>Apple</v>
      </c>
    </row>
    <row r="374" spans="1:7" x14ac:dyDescent="0.25">
      <c r="A374" s="1">
        <v>45039</v>
      </c>
      <c r="B374" t="s">
        <v>21</v>
      </c>
      <c r="C374" t="s">
        <v>7</v>
      </c>
      <c r="D374" t="s">
        <v>9</v>
      </c>
      <c r="E374">
        <v>254.12</v>
      </c>
      <c r="F374">
        <v>36</v>
      </c>
      <c r="G374" s="4" t="str">
        <f>_xlfn.XLOOKUP($B374,supplier_data!A:A,supplier_data!B:B)</f>
        <v>Sony</v>
      </c>
    </row>
    <row r="375" spans="1:7" x14ac:dyDescent="0.25">
      <c r="A375" s="1">
        <v>44961</v>
      </c>
      <c r="B375" t="s">
        <v>22</v>
      </c>
      <c r="C375" t="s">
        <v>7</v>
      </c>
      <c r="D375" t="s">
        <v>11</v>
      </c>
      <c r="E375">
        <v>1026.3499999999999</v>
      </c>
      <c r="F375">
        <v>3</v>
      </c>
      <c r="G375" s="4" t="str">
        <f>_xlfn.XLOOKUP($B375,supplier_data!A:A,supplier_data!B:B)</f>
        <v>Apple</v>
      </c>
    </row>
    <row r="376" spans="1:7" x14ac:dyDescent="0.25">
      <c r="A376" s="1">
        <v>45039</v>
      </c>
      <c r="B376" t="s">
        <v>20</v>
      </c>
      <c r="C376" t="s">
        <v>7</v>
      </c>
      <c r="D376" t="s">
        <v>13</v>
      </c>
      <c r="E376">
        <v>1445.27</v>
      </c>
      <c r="F376">
        <v>40</v>
      </c>
      <c r="G376" s="4" t="str">
        <f>_xlfn.XLOOKUP($B376,supplier_data!A:A,supplier_data!B:B)</f>
        <v>Logitech</v>
      </c>
    </row>
    <row r="377" spans="1:7" x14ac:dyDescent="0.25">
      <c r="A377" s="1">
        <v>45091</v>
      </c>
      <c r="B377" t="s">
        <v>14</v>
      </c>
      <c r="C377" t="s">
        <v>7</v>
      </c>
      <c r="D377" t="s">
        <v>13</v>
      </c>
      <c r="E377">
        <v>1291.3599999999999</v>
      </c>
      <c r="F377">
        <v>28</v>
      </c>
      <c r="G377" s="4" t="str">
        <f>_xlfn.XLOOKUP($B377,supplier_data!A:A,supplier_data!B:B)</f>
        <v>LG</v>
      </c>
    </row>
    <row r="378" spans="1:7" x14ac:dyDescent="0.25">
      <c r="A378" s="1">
        <v>45181</v>
      </c>
      <c r="B378" t="s">
        <v>22</v>
      </c>
      <c r="C378" t="s">
        <v>7</v>
      </c>
      <c r="D378" t="s">
        <v>8</v>
      </c>
      <c r="E378">
        <v>851.84</v>
      </c>
      <c r="F378">
        <v>37</v>
      </c>
      <c r="G378" s="4" t="str">
        <f>_xlfn.XLOOKUP($B378,supplier_data!A:A,supplier_data!B:B)</f>
        <v>Apple</v>
      </c>
    </row>
    <row r="379" spans="1:7" x14ac:dyDescent="0.25">
      <c r="A379" s="1">
        <v>44932</v>
      </c>
      <c r="B379" t="s">
        <v>20</v>
      </c>
      <c r="C379" t="s">
        <v>7</v>
      </c>
      <c r="D379" t="s">
        <v>11</v>
      </c>
      <c r="E379">
        <v>325.13</v>
      </c>
      <c r="F379">
        <v>47</v>
      </c>
      <c r="G379" s="4" t="str">
        <f>_xlfn.XLOOKUP($B379,supplier_data!A:A,supplier_data!B:B)</f>
        <v>Logitech</v>
      </c>
    </row>
    <row r="380" spans="1:7" x14ac:dyDescent="0.25">
      <c r="A380" s="1">
        <v>45088</v>
      </c>
      <c r="B380" t="s">
        <v>20</v>
      </c>
      <c r="C380" t="s">
        <v>7</v>
      </c>
      <c r="D380" t="s">
        <v>8</v>
      </c>
      <c r="E380">
        <v>1194.21</v>
      </c>
      <c r="F380">
        <v>5</v>
      </c>
      <c r="G380" s="4" t="str">
        <f>_xlfn.XLOOKUP($B380,supplier_data!A:A,supplier_data!B:B)</f>
        <v>Logitech</v>
      </c>
    </row>
    <row r="381" spans="1:7" x14ac:dyDescent="0.25">
      <c r="A381" s="1">
        <v>45153</v>
      </c>
      <c r="B381" t="s">
        <v>20</v>
      </c>
      <c r="C381" t="s">
        <v>7</v>
      </c>
      <c r="D381" t="s">
        <v>9</v>
      </c>
      <c r="E381">
        <v>241.88</v>
      </c>
      <c r="F381">
        <v>30</v>
      </c>
      <c r="G381" s="4" t="str">
        <f>_xlfn.XLOOKUP($B381,supplier_data!A:A,supplier_data!B:B)</f>
        <v>Logitech</v>
      </c>
    </row>
    <row r="382" spans="1:7" x14ac:dyDescent="0.25">
      <c r="A382" s="1">
        <v>44958</v>
      </c>
      <c r="B382" t="s">
        <v>19</v>
      </c>
      <c r="C382" t="s">
        <v>7</v>
      </c>
      <c r="D382" t="s">
        <v>8</v>
      </c>
      <c r="E382">
        <v>1225.6500000000001</v>
      </c>
      <c r="F382">
        <v>31</v>
      </c>
      <c r="G382" s="4" t="str">
        <f>_xlfn.XLOOKUP($B382,supplier_data!A:A,supplier_data!B:B)</f>
        <v>HP</v>
      </c>
    </row>
    <row r="383" spans="1:7" x14ac:dyDescent="0.25">
      <c r="A383" s="1">
        <v>45009</v>
      </c>
      <c r="B383" t="s">
        <v>22</v>
      </c>
      <c r="C383" t="s">
        <v>7</v>
      </c>
      <c r="D383" t="s">
        <v>13</v>
      </c>
      <c r="E383">
        <v>1587.91</v>
      </c>
      <c r="F383">
        <v>7</v>
      </c>
      <c r="G383" s="4" t="str">
        <f>_xlfn.XLOOKUP($B383,supplier_data!A:A,supplier_data!B:B)</f>
        <v>Apple</v>
      </c>
    </row>
    <row r="384" spans="1:7" x14ac:dyDescent="0.25">
      <c r="A384" s="1">
        <v>45277</v>
      </c>
      <c r="B384" t="s">
        <v>21</v>
      </c>
      <c r="C384" t="s">
        <v>7</v>
      </c>
      <c r="D384" t="s">
        <v>9</v>
      </c>
      <c r="E384">
        <v>1101.53</v>
      </c>
      <c r="F384">
        <v>31</v>
      </c>
      <c r="G384" s="4" t="str">
        <f>_xlfn.XLOOKUP($B384,supplier_data!A:A,supplier_data!B:B)</f>
        <v>Sony</v>
      </c>
    </row>
    <row r="385" spans="1:7" x14ac:dyDescent="0.25">
      <c r="A385" s="1">
        <v>45000</v>
      </c>
      <c r="B385" t="s">
        <v>12</v>
      </c>
      <c r="C385" t="s">
        <v>7</v>
      </c>
      <c r="D385" t="s">
        <v>8</v>
      </c>
      <c r="E385">
        <v>984.2</v>
      </c>
      <c r="F385">
        <v>50</v>
      </c>
      <c r="G385" s="4" t="str">
        <f>_xlfn.XLOOKUP($B385,supplier_data!A:A,supplier_data!B:B)</f>
        <v>Dell</v>
      </c>
    </row>
    <row r="386" spans="1:7" x14ac:dyDescent="0.25">
      <c r="A386" s="1">
        <v>45057</v>
      </c>
      <c r="B386" t="s">
        <v>17</v>
      </c>
      <c r="C386" t="s">
        <v>18</v>
      </c>
      <c r="D386" t="s">
        <v>8</v>
      </c>
      <c r="E386">
        <v>475.64</v>
      </c>
      <c r="F386">
        <v>16</v>
      </c>
      <c r="G386" s="4" t="str">
        <f>_xlfn.XLOOKUP($B386,supplier_data!A:A,supplier_data!B:B)</f>
        <v>Fossil</v>
      </c>
    </row>
    <row r="387" spans="1:7" x14ac:dyDescent="0.25">
      <c r="A387" s="1">
        <v>45023</v>
      </c>
      <c r="B387" t="s">
        <v>12</v>
      </c>
      <c r="C387" t="s">
        <v>7</v>
      </c>
      <c r="D387" t="s">
        <v>11</v>
      </c>
      <c r="E387">
        <v>1231.52</v>
      </c>
      <c r="F387">
        <v>13</v>
      </c>
      <c r="G387" s="4" t="str">
        <f>_xlfn.XLOOKUP($B387,supplier_data!A:A,supplier_data!B:B)</f>
        <v>Dell</v>
      </c>
    </row>
    <row r="388" spans="1:7" x14ac:dyDescent="0.25">
      <c r="A388" s="1">
        <v>44988</v>
      </c>
      <c r="B388" t="s">
        <v>15</v>
      </c>
      <c r="C388" t="s">
        <v>16</v>
      </c>
      <c r="D388" t="s">
        <v>9</v>
      </c>
      <c r="E388">
        <v>1683.29</v>
      </c>
      <c r="F388">
        <v>43</v>
      </c>
      <c r="G388" s="4" t="str">
        <f>_xlfn.XLOOKUP($B388,supplier_data!A:A,supplier_data!B:B)</f>
        <v>Nike</v>
      </c>
    </row>
    <row r="389" spans="1:7" x14ac:dyDescent="0.25">
      <c r="A389" s="1">
        <v>45155</v>
      </c>
      <c r="B389" t="s">
        <v>22</v>
      </c>
      <c r="C389" t="s">
        <v>7</v>
      </c>
      <c r="D389" t="s">
        <v>9</v>
      </c>
      <c r="E389">
        <v>1925.54</v>
      </c>
      <c r="F389">
        <v>49</v>
      </c>
      <c r="G389" s="4" t="str">
        <f>_xlfn.XLOOKUP($B389,supplier_data!A:A,supplier_data!B:B)</f>
        <v>Apple</v>
      </c>
    </row>
    <row r="390" spans="1:7" x14ac:dyDescent="0.25">
      <c r="A390" s="1">
        <v>44989</v>
      </c>
      <c r="B390" t="s">
        <v>19</v>
      </c>
      <c r="C390" t="s">
        <v>7</v>
      </c>
      <c r="D390" t="s">
        <v>9</v>
      </c>
      <c r="E390">
        <v>701.69</v>
      </c>
      <c r="F390">
        <v>43</v>
      </c>
      <c r="G390" s="4" t="str">
        <f>_xlfn.XLOOKUP($B390,supplier_data!A:A,supplier_data!B:B)</f>
        <v>HP</v>
      </c>
    </row>
    <row r="391" spans="1:7" x14ac:dyDescent="0.25">
      <c r="A391" s="1">
        <v>45052</v>
      </c>
      <c r="B391" t="s">
        <v>21</v>
      </c>
      <c r="C391" t="s">
        <v>7</v>
      </c>
      <c r="D391" t="s">
        <v>13</v>
      </c>
      <c r="E391">
        <v>821.54</v>
      </c>
      <c r="F391">
        <v>6</v>
      </c>
      <c r="G391" s="4" t="str">
        <f>_xlfn.XLOOKUP($B391,supplier_data!A:A,supplier_data!B:B)</f>
        <v>Sony</v>
      </c>
    </row>
    <row r="392" spans="1:7" x14ac:dyDescent="0.25">
      <c r="A392" s="1">
        <v>45283</v>
      </c>
      <c r="B392" t="s">
        <v>19</v>
      </c>
      <c r="C392" t="s">
        <v>7</v>
      </c>
      <c r="D392" t="s">
        <v>13</v>
      </c>
      <c r="E392">
        <v>1010.12</v>
      </c>
      <c r="F392">
        <v>13</v>
      </c>
      <c r="G392" s="4" t="str">
        <f>_xlfn.XLOOKUP($B392,supplier_data!A:A,supplier_data!B:B)</f>
        <v>HP</v>
      </c>
    </row>
    <row r="393" spans="1:7" x14ac:dyDescent="0.25">
      <c r="A393" s="1">
        <v>45256</v>
      </c>
      <c r="B393" t="s">
        <v>21</v>
      </c>
      <c r="C393" t="s">
        <v>7</v>
      </c>
      <c r="D393" t="s">
        <v>8</v>
      </c>
      <c r="E393">
        <v>1431.1</v>
      </c>
      <c r="F393">
        <v>13</v>
      </c>
      <c r="G393" s="4" t="str">
        <f>_xlfn.XLOOKUP($B393,supplier_data!A:A,supplier_data!B:B)</f>
        <v>Sony</v>
      </c>
    </row>
    <row r="394" spans="1:7" x14ac:dyDescent="0.25">
      <c r="A394" s="1">
        <v>45034</v>
      </c>
      <c r="B394" t="s">
        <v>15</v>
      </c>
      <c r="C394" t="s">
        <v>16</v>
      </c>
      <c r="D394" t="s">
        <v>9</v>
      </c>
      <c r="E394">
        <v>1447.47</v>
      </c>
      <c r="F394">
        <v>2</v>
      </c>
      <c r="G394" s="4" t="str">
        <f>_xlfn.XLOOKUP($B394,supplier_data!A:A,supplier_data!B:B)</f>
        <v>Nike</v>
      </c>
    </row>
    <row r="395" spans="1:7" x14ac:dyDescent="0.25">
      <c r="A395" s="1">
        <v>44998</v>
      </c>
      <c r="B395" t="s">
        <v>6</v>
      </c>
      <c r="C395" t="s">
        <v>7</v>
      </c>
      <c r="D395" t="s">
        <v>9</v>
      </c>
      <c r="E395">
        <v>155.52000000000001</v>
      </c>
      <c r="F395">
        <v>49</v>
      </c>
      <c r="G395" s="4" t="str">
        <f>_xlfn.XLOOKUP($B395,supplier_data!A:A,supplier_data!B:B)</f>
        <v>Canon</v>
      </c>
    </row>
    <row r="396" spans="1:7" x14ac:dyDescent="0.25">
      <c r="A396" s="1">
        <v>45218</v>
      </c>
      <c r="B396" t="s">
        <v>10</v>
      </c>
      <c r="C396" t="s">
        <v>7</v>
      </c>
      <c r="D396" t="s">
        <v>13</v>
      </c>
      <c r="E396">
        <v>536.21</v>
      </c>
      <c r="F396">
        <v>33</v>
      </c>
      <c r="G396" s="4" t="str">
        <f>_xlfn.XLOOKUP($B396,supplier_data!A:A,supplier_data!B:B)</f>
        <v>Samsung</v>
      </c>
    </row>
    <row r="397" spans="1:7" x14ac:dyDescent="0.25">
      <c r="A397" s="1">
        <v>45178</v>
      </c>
      <c r="B397" t="s">
        <v>22</v>
      </c>
      <c r="C397" t="s">
        <v>7</v>
      </c>
      <c r="D397" t="s">
        <v>11</v>
      </c>
      <c r="E397">
        <v>1830.13</v>
      </c>
      <c r="F397">
        <v>20</v>
      </c>
      <c r="G397" s="4" t="str">
        <f>_xlfn.XLOOKUP($B397,supplier_data!A:A,supplier_data!B:B)</f>
        <v>Apple</v>
      </c>
    </row>
    <row r="398" spans="1:7" x14ac:dyDescent="0.25">
      <c r="A398" s="1">
        <v>45186</v>
      </c>
      <c r="B398" t="s">
        <v>17</v>
      </c>
      <c r="C398" t="s">
        <v>18</v>
      </c>
      <c r="D398" t="s">
        <v>8</v>
      </c>
      <c r="E398">
        <v>211.48</v>
      </c>
      <c r="F398">
        <v>18</v>
      </c>
      <c r="G398" s="4" t="str">
        <f>_xlfn.XLOOKUP($B398,supplier_data!A:A,supplier_data!B:B)</f>
        <v>Fossil</v>
      </c>
    </row>
    <row r="399" spans="1:7" x14ac:dyDescent="0.25">
      <c r="A399" s="1">
        <v>45006</v>
      </c>
      <c r="B399" t="s">
        <v>21</v>
      </c>
      <c r="C399" t="s">
        <v>7</v>
      </c>
      <c r="D399" t="s">
        <v>11</v>
      </c>
      <c r="E399">
        <v>387.86</v>
      </c>
      <c r="F399">
        <v>31</v>
      </c>
      <c r="G399" s="4" t="str">
        <f>_xlfn.XLOOKUP($B399,supplier_data!A:A,supplier_data!B:B)</f>
        <v>Sony</v>
      </c>
    </row>
    <row r="400" spans="1:7" x14ac:dyDescent="0.25">
      <c r="A400" s="1">
        <v>44968</v>
      </c>
      <c r="B400" t="s">
        <v>19</v>
      </c>
      <c r="C400" t="s">
        <v>7</v>
      </c>
      <c r="D400" t="s">
        <v>11</v>
      </c>
      <c r="E400">
        <v>262.05</v>
      </c>
      <c r="F400">
        <v>26</v>
      </c>
      <c r="G400" s="4" t="str">
        <f>_xlfn.XLOOKUP($B400,supplier_data!A:A,supplier_data!B:B)</f>
        <v>HP</v>
      </c>
    </row>
    <row r="401" spans="1:7" x14ac:dyDescent="0.25">
      <c r="A401" s="1">
        <v>44952</v>
      </c>
      <c r="B401" t="s">
        <v>14</v>
      </c>
      <c r="C401" t="s">
        <v>7</v>
      </c>
      <c r="D401" t="s">
        <v>9</v>
      </c>
      <c r="E401">
        <v>1035.8</v>
      </c>
      <c r="F401">
        <v>4</v>
      </c>
      <c r="G401" s="4" t="str">
        <f>_xlfn.XLOOKUP($B401,supplier_data!A:A,supplier_data!B:B)</f>
        <v>LG</v>
      </c>
    </row>
    <row r="402" spans="1:7" x14ac:dyDescent="0.25">
      <c r="A402" s="1">
        <v>45054</v>
      </c>
      <c r="B402" t="s">
        <v>12</v>
      </c>
      <c r="C402" t="s">
        <v>7</v>
      </c>
      <c r="D402" t="s">
        <v>9</v>
      </c>
      <c r="E402">
        <v>1001.83</v>
      </c>
      <c r="F402">
        <v>37</v>
      </c>
      <c r="G402" s="4" t="str">
        <f>_xlfn.XLOOKUP($B402,supplier_data!A:A,supplier_data!B:B)</f>
        <v>Dell</v>
      </c>
    </row>
    <row r="403" spans="1:7" x14ac:dyDescent="0.25">
      <c r="A403" s="1">
        <v>44979</v>
      </c>
      <c r="B403" t="s">
        <v>21</v>
      </c>
      <c r="C403" t="s">
        <v>7</v>
      </c>
      <c r="D403" t="s">
        <v>11</v>
      </c>
      <c r="E403">
        <v>1963.21</v>
      </c>
      <c r="F403">
        <v>43</v>
      </c>
      <c r="G403" s="4" t="str">
        <f>_xlfn.XLOOKUP($B403,supplier_data!A:A,supplier_data!B:B)</f>
        <v>Sony</v>
      </c>
    </row>
    <row r="404" spans="1:7" x14ac:dyDescent="0.25">
      <c r="A404" s="1">
        <v>45292</v>
      </c>
      <c r="B404" t="s">
        <v>14</v>
      </c>
      <c r="C404" t="s">
        <v>7</v>
      </c>
      <c r="D404" t="s">
        <v>11</v>
      </c>
      <c r="E404">
        <v>1161.3399999999999</v>
      </c>
      <c r="F404">
        <v>12</v>
      </c>
      <c r="G404" s="4" t="str">
        <f>_xlfn.XLOOKUP($B404,supplier_data!A:A,supplier_data!B:B)</f>
        <v>LG</v>
      </c>
    </row>
    <row r="405" spans="1:7" x14ac:dyDescent="0.25">
      <c r="A405" s="1">
        <v>45066</v>
      </c>
      <c r="B405" t="s">
        <v>22</v>
      </c>
      <c r="C405" t="s">
        <v>7</v>
      </c>
      <c r="D405" t="s">
        <v>13</v>
      </c>
      <c r="E405">
        <v>815.52</v>
      </c>
      <c r="F405">
        <v>16</v>
      </c>
      <c r="G405" s="4" t="str">
        <f>_xlfn.XLOOKUP($B405,supplier_data!A:A,supplier_data!B:B)</f>
        <v>Apple</v>
      </c>
    </row>
    <row r="406" spans="1:7" x14ac:dyDescent="0.25">
      <c r="A406" s="1">
        <v>44999</v>
      </c>
      <c r="B406" t="s">
        <v>19</v>
      </c>
      <c r="C406" t="s">
        <v>7</v>
      </c>
      <c r="D406" t="s">
        <v>11</v>
      </c>
      <c r="E406">
        <v>854.03</v>
      </c>
      <c r="F406">
        <v>15</v>
      </c>
      <c r="G406" s="4" t="str">
        <f>_xlfn.XLOOKUP($B406,supplier_data!A:A,supplier_data!B:B)</f>
        <v>HP</v>
      </c>
    </row>
    <row r="407" spans="1:7" x14ac:dyDescent="0.25">
      <c r="A407" s="1">
        <v>45289</v>
      </c>
      <c r="B407" t="s">
        <v>22</v>
      </c>
      <c r="C407" t="s">
        <v>7</v>
      </c>
      <c r="D407" t="s">
        <v>8</v>
      </c>
      <c r="E407">
        <v>567.92999999999995</v>
      </c>
      <c r="F407">
        <v>24</v>
      </c>
      <c r="G407" s="4" t="str">
        <f>_xlfn.XLOOKUP($B407,supplier_data!A:A,supplier_data!B:B)</f>
        <v>Apple</v>
      </c>
    </row>
    <row r="408" spans="1:7" x14ac:dyDescent="0.25">
      <c r="A408" s="1">
        <v>45154</v>
      </c>
      <c r="B408" t="s">
        <v>12</v>
      </c>
      <c r="C408" t="s">
        <v>7</v>
      </c>
      <c r="D408" t="s">
        <v>11</v>
      </c>
      <c r="E408">
        <v>1668.73</v>
      </c>
      <c r="F408">
        <v>17</v>
      </c>
      <c r="G408" s="4" t="str">
        <f>_xlfn.XLOOKUP($B408,supplier_data!A:A,supplier_data!B:B)</f>
        <v>Dell</v>
      </c>
    </row>
    <row r="409" spans="1:7" x14ac:dyDescent="0.25">
      <c r="A409" s="1">
        <v>45121</v>
      </c>
      <c r="B409" t="s">
        <v>12</v>
      </c>
      <c r="C409" t="s">
        <v>7</v>
      </c>
      <c r="D409" t="s">
        <v>11</v>
      </c>
      <c r="E409">
        <v>1778.08</v>
      </c>
      <c r="F409">
        <v>5</v>
      </c>
      <c r="G409" s="4" t="str">
        <f>_xlfn.XLOOKUP($B409,supplier_data!A:A,supplier_data!B:B)</f>
        <v>Dell</v>
      </c>
    </row>
    <row r="410" spans="1:7" x14ac:dyDescent="0.25">
      <c r="A410" s="1">
        <v>45055</v>
      </c>
      <c r="B410" t="s">
        <v>19</v>
      </c>
      <c r="C410" t="s">
        <v>7</v>
      </c>
      <c r="D410" t="s">
        <v>13</v>
      </c>
      <c r="E410">
        <v>1603.13</v>
      </c>
      <c r="F410">
        <v>40</v>
      </c>
      <c r="G410" s="4" t="str">
        <f>_xlfn.XLOOKUP($B410,supplier_data!A:A,supplier_data!B:B)</f>
        <v>HP</v>
      </c>
    </row>
    <row r="411" spans="1:7" x14ac:dyDescent="0.25">
      <c r="A411" s="1">
        <v>45272</v>
      </c>
      <c r="B411" t="s">
        <v>12</v>
      </c>
      <c r="C411" t="s">
        <v>7</v>
      </c>
      <c r="D411" t="s">
        <v>11</v>
      </c>
      <c r="E411">
        <v>1824.09</v>
      </c>
      <c r="F411">
        <v>42</v>
      </c>
      <c r="G411" s="4" t="str">
        <f>_xlfn.XLOOKUP($B411,supplier_data!A:A,supplier_data!B:B)</f>
        <v>Dell</v>
      </c>
    </row>
    <row r="412" spans="1:7" x14ac:dyDescent="0.25">
      <c r="A412" s="1">
        <v>45129</v>
      </c>
      <c r="B412" t="s">
        <v>21</v>
      </c>
      <c r="C412" t="s">
        <v>7</v>
      </c>
      <c r="D412" t="s">
        <v>11</v>
      </c>
      <c r="E412">
        <v>753.94</v>
      </c>
      <c r="F412">
        <v>29</v>
      </c>
      <c r="G412" s="4" t="str">
        <f>_xlfn.XLOOKUP($B412,supplier_data!A:A,supplier_data!B:B)</f>
        <v>Sony</v>
      </c>
    </row>
    <row r="413" spans="1:7" x14ac:dyDescent="0.25">
      <c r="A413" s="1">
        <v>45130</v>
      </c>
      <c r="B413" t="s">
        <v>21</v>
      </c>
      <c r="C413" t="s">
        <v>7</v>
      </c>
      <c r="D413" t="s">
        <v>13</v>
      </c>
      <c r="E413">
        <v>1454.91</v>
      </c>
      <c r="F413">
        <v>6</v>
      </c>
      <c r="G413" s="4" t="str">
        <f>_xlfn.XLOOKUP($B413,supplier_data!A:A,supplier_data!B:B)</f>
        <v>Sony</v>
      </c>
    </row>
    <row r="414" spans="1:7" x14ac:dyDescent="0.25">
      <c r="A414" s="1">
        <v>45055</v>
      </c>
      <c r="B414" t="s">
        <v>14</v>
      </c>
      <c r="C414" t="s">
        <v>7</v>
      </c>
      <c r="D414" t="s">
        <v>9</v>
      </c>
      <c r="E414">
        <v>1873.41</v>
      </c>
      <c r="F414">
        <v>42</v>
      </c>
      <c r="G414" s="4" t="str">
        <f>_xlfn.XLOOKUP($B414,supplier_data!A:A,supplier_data!B:B)</f>
        <v>LG</v>
      </c>
    </row>
    <row r="415" spans="1:7" x14ac:dyDescent="0.25">
      <c r="A415" s="1">
        <v>45260</v>
      </c>
      <c r="B415" t="s">
        <v>20</v>
      </c>
      <c r="C415" t="s">
        <v>7</v>
      </c>
      <c r="D415" t="s">
        <v>9</v>
      </c>
      <c r="E415">
        <v>502.42</v>
      </c>
      <c r="F415">
        <v>42</v>
      </c>
      <c r="G415" s="4" t="str">
        <f>_xlfn.XLOOKUP($B415,supplier_data!A:A,supplier_data!B:B)</f>
        <v>Logitech</v>
      </c>
    </row>
    <row r="416" spans="1:7" x14ac:dyDescent="0.25">
      <c r="A416" s="1">
        <v>44997</v>
      </c>
      <c r="B416" t="s">
        <v>17</v>
      </c>
      <c r="C416" t="s">
        <v>18</v>
      </c>
      <c r="D416" t="s">
        <v>13</v>
      </c>
      <c r="E416">
        <v>1443.13</v>
      </c>
      <c r="F416">
        <v>36</v>
      </c>
      <c r="G416" s="4" t="str">
        <f>_xlfn.XLOOKUP($B416,supplier_data!A:A,supplier_data!B:B)</f>
        <v>Fossil</v>
      </c>
    </row>
    <row r="417" spans="1:7" x14ac:dyDescent="0.25">
      <c r="A417" s="1">
        <v>45198</v>
      </c>
      <c r="B417" t="s">
        <v>19</v>
      </c>
      <c r="C417" t="s">
        <v>7</v>
      </c>
      <c r="D417" t="s">
        <v>8</v>
      </c>
      <c r="E417">
        <v>352.95</v>
      </c>
      <c r="F417">
        <v>1</v>
      </c>
      <c r="G417" s="4" t="str">
        <f>_xlfn.XLOOKUP($B417,supplier_data!A:A,supplier_data!B:B)</f>
        <v>HP</v>
      </c>
    </row>
    <row r="418" spans="1:7" x14ac:dyDescent="0.25">
      <c r="A418" s="1">
        <v>45091</v>
      </c>
      <c r="B418" t="s">
        <v>10</v>
      </c>
      <c r="C418" t="s">
        <v>7</v>
      </c>
      <c r="D418" t="s">
        <v>13</v>
      </c>
      <c r="E418">
        <v>1938.84</v>
      </c>
      <c r="F418">
        <v>31</v>
      </c>
      <c r="G418" s="4" t="str">
        <f>_xlfn.XLOOKUP($B418,supplier_data!A:A,supplier_data!B:B)</f>
        <v>Samsung</v>
      </c>
    </row>
    <row r="419" spans="1:7" x14ac:dyDescent="0.25">
      <c r="A419" s="1">
        <v>44975</v>
      </c>
      <c r="B419" t="s">
        <v>12</v>
      </c>
      <c r="C419" t="s">
        <v>7</v>
      </c>
      <c r="D419" t="s">
        <v>8</v>
      </c>
      <c r="E419">
        <v>1917.46</v>
      </c>
      <c r="F419">
        <v>13</v>
      </c>
      <c r="G419" s="4" t="str">
        <f>_xlfn.XLOOKUP($B419,supplier_data!A:A,supplier_data!B:B)</f>
        <v>Dell</v>
      </c>
    </row>
    <row r="420" spans="1:7" x14ac:dyDescent="0.25">
      <c r="A420" s="1">
        <v>45068</v>
      </c>
      <c r="B420" t="s">
        <v>17</v>
      </c>
      <c r="C420" t="s">
        <v>18</v>
      </c>
      <c r="D420" t="s">
        <v>8</v>
      </c>
      <c r="E420">
        <v>541.88</v>
      </c>
      <c r="F420">
        <v>30</v>
      </c>
      <c r="G420" s="4" t="str">
        <f>_xlfn.XLOOKUP($B420,supplier_data!A:A,supplier_data!B:B)</f>
        <v>Fossil</v>
      </c>
    </row>
    <row r="421" spans="1:7" x14ac:dyDescent="0.25">
      <c r="A421" s="1">
        <v>45224</v>
      </c>
      <c r="B421" t="s">
        <v>12</v>
      </c>
      <c r="C421" t="s">
        <v>7</v>
      </c>
      <c r="D421" t="s">
        <v>13</v>
      </c>
      <c r="E421">
        <v>1739.09</v>
      </c>
      <c r="F421">
        <v>10</v>
      </c>
      <c r="G421" s="4" t="str">
        <f>_xlfn.XLOOKUP($B421,supplier_data!A:A,supplier_data!B:B)</f>
        <v>Dell</v>
      </c>
    </row>
    <row r="422" spans="1:7" x14ac:dyDescent="0.25">
      <c r="A422" s="1">
        <v>45070</v>
      </c>
      <c r="B422" t="s">
        <v>20</v>
      </c>
      <c r="C422" t="s">
        <v>7</v>
      </c>
      <c r="D422" t="s">
        <v>8</v>
      </c>
      <c r="E422">
        <v>1106.71</v>
      </c>
      <c r="F422">
        <v>5</v>
      </c>
      <c r="G422" s="4" t="str">
        <f>_xlfn.XLOOKUP($B422,supplier_data!A:A,supplier_data!B:B)</f>
        <v>Logitech</v>
      </c>
    </row>
    <row r="423" spans="1:7" x14ac:dyDescent="0.25">
      <c r="A423" s="1">
        <v>45241</v>
      </c>
      <c r="B423" t="s">
        <v>22</v>
      </c>
      <c r="C423" t="s">
        <v>7</v>
      </c>
      <c r="D423" t="s">
        <v>11</v>
      </c>
      <c r="E423">
        <v>151.46</v>
      </c>
      <c r="F423">
        <v>15</v>
      </c>
      <c r="G423" s="4" t="str">
        <f>_xlfn.XLOOKUP($B423,supplier_data!A:A,supplier_data!B:B)</f>
        <v>Apple</v>
      </c>
    </row>
    <row r="424" spans="1:7" x14ac:dyDescent="0.25">
      <c r="A424" s="1">
        <v>44979</v>
      </c>
      <c r="B424" t="s">
        <v>19</v>
      </c>
      <c r="C424" t="s">
        <v>7</v>
      </c>
      <c r="D424" t="s">
        <v>11</v>
      </c>
      <c r="E424">
        <v>1253.31</v>
      </c>
      <c r="F424">
        <v>40</v>
      </c>
      <c r="G424" s="4" t="str">
        <f>_xlfn.XLOOKUP($B424,supplier_data!A:A,supplier_data!B:B)</f>
        <v>HP</v>
      </c>
    </row>
    <row r="425" spans="1:7" x14ac:dyDescent="0.25">
      <c r="A425" s="1">
        <v>45193</v>
      </c>
      <c r="B425" t="s">
        <v>17</v>
      </c>
      <c r="C425" t="s">
        <v>18</v>
      </c>
      <c r="D425" t="s">
        <v>11</v>
      </c>
      <c r="E425">
        <v>1365.73</v>
      </c>
      <c r="F425">
        <v>13</v>
      </c>
      <c r="G425" s="4" t="str">
        <f>_xlfn.XLOOKUP($B425,supplier_data!A:A,supplier_data!B:B)</f>
        <v>Fossil</v>
      </c>
    </row>
    <row r="426" spans="1:7" x14ac:dyDescent="0.25">
      <c r="A426" s="1">
        <v>44981</v>
      </c>
      <c r="B426" t="s">
        <v>17</v>
      </c>
      <c r="C426" t="s">
        <v>18</v>
      </c>
      <c r="D426" t="s">
        <v>11</v>
      </c>
      <c r="E426">
        <v>1433.56</v>
      </c>
      <c r="F426">
        <v>23</v>
      </c>
      <c r="G426" s="4" t="str">
        <f>_xlfn.XLOOKUP($B426,supplier_data!A:A,supplier_data!B:B)</f>
        <v>Fossil</v>
      </c>
    </row>
    <row r="427" spans="1:7" x14ac:dyDescent="0.25">
      <c r="A427" s="1">
        <v>45259</v>
      </c>
      <c r="B427" t="s">
        <v>10</v>
      </c>
      <c r="C427" t="s">
        <v>7</v>
      </c>
      <c r="D427" t="s">
        <v>9</v>
      </c>
      <c r="E427">
        <v>218.23</v>
      </c>
      <c r="F427">
        <v>9</v>
      </c>
      <c r="G427" s="4" t="str">
        <f>_xlfn.XLOOKUP($B427,supplier_data!A:A,supplier_data!B:B)</f>
        <v>Samsung</v>
      </c>
    </row>
    <row r="428" spans="1:7" x14ac:dyDescent="0.25">
      <c r="A428" s="1">
        <v>45210</v>
      </c>
      <c r="B428" t="s">
        <v>19</v>
      </c>
      <c r="C428" t="s">
        <v>7</v>
      </c>
      <c r="D428" t="s">
        <v>13</v>
      </c>
      <c r="E428">
        <v>536.49</v>
      </c>
      <c r="F428">
        <v>19</v>
      </c>
      <c r="G428" s="4" t="str">
        <f>_xlfn.XLOOKUP($B428,supplier_data!A:A,supplier_data!B:B)</f>
        <v>HP</v>
      </c>
    </row>
    <row r="429" spans="1:7" x14ac:dyDescent="0.25">
      <c r="A429" s="1">
        <v>45189</v>
      </c>
      <c r="B429" t="s">
        <v>12</v>
      </c>
      <c r="C429" t="s">
        <v>7</v>
      </c>
      <c r="D429" t="s">
        <v>11</v>
      </c>
      <c r="E429">
        <v>1814.83</v>
      </c>
      <c r="F429">
        <v>5</v>
      </c>
      <c r="G429" s="4" t="str">
        <f>_xlfn.XLOOKUP($B429,supplier_data!A:A,supplier_data!B:B)</f>
        <v>Dell</v>
      </c>
    </row>
    <row r="430" spans="1:7" x14ac:dyDescent="0.25">
      <c r="A430" s="1">
        <v>45156</v>
      </c>
      <c r="B430" t="s">
        <v>22</v>
      </c>
      <c r="C430" t="s">
        <v>7</v>
      </c>
      <c r="D430" t="s">
        <v>13</v>
      </c>
      <c r="E430">
        <v>1365.7</v>
      </c>
      <c r="F430">
        <v>6</v>
      </c>
      <c r="G430" s="4" t="str">
        <f>_xlfn.XLOOKUP($B430,supplier_data!A:A,supplier_data!B:B)</f>
        <v>Apple</v>
      </c>
    </row>
    <row r="431" spans="1:7" x14ac:dyDescent="0.25">
      <c r="A431" s="1">
        <v>45092</v>
      </c>
      <c r="B431" t="s">
        <v>22</v>
      </c>
      <c r="C431" t="s">
        <v>7</v>
      </c>
      <c r="D431" t="s">
        <v>8</v>
      </c>
      <c r="E431">
        <v>1779.95</v>
      </c>
      <c r="F431">
        <v>38</v>
      </c>
      <c r="G431" s="4" t="str">
        <f>_xlfn.XLOOKUP($B431,supplier_data!A:A,supplier_data!B:B)</f>
        <v>Apple</v>
      </c>
    </row>
    <row r="432" spans="1:7" x14ac:dyDescent="0.25">
      <c r="A432" s="1">
        <v>44958</v>
      </c>
      <c r="B432" t="s">
        <v>20</v>
      </c>
      <c r="C432" t="s">
        <v>7</v>
      </c>
      <c r="D432" t="s">
        <v>9</v>
      </c>
      <c r="E432">
        <v>662.73</v>
      </c>
      <c r="F432">
        <v>44</v>
      </c>
      <c r="G432" s="4" t="str">
        <f>_xlfn.XLOOKUP($B432,supplier_data!A:A,supplier_data!B:B)</f>
        <v>Logitech</v>
      </c>
    </row>
    <row r="433" spans="1:7" x14ac:dyDescent="0.25">
      <c r="A433" s="1">
        <v>45113</v>
      </c>
      <c r="B433" t="s">
        <v>17</v>
      </c>
      <c r="C433" t="s">
        <v>18</v>
      </c>
      <c r="D433" t="s">
        <v>11</v>
      </c>
      <c r="E433">
        <v>204.85</v>
      </c>
      <c r="F433">
        <v>16</v>
      </c>
      <c r="G433" s="4" t="str">
        <f>_xlfn.XLOOKUP($B433,supplier_data!A:A,supplier_data!B:B)</f>
        <v>Fossil</v>
      </c>
    </row>
    <row r="434" spans="1:7" x14ac:dyDescent="0.25">
      <c r="A434" s="1">
        <v>45023</v>
      </c>
      <c r="B434" t="s">
        <v>20</v>
      </c>
      <c r="C434" t="s">
        <v>7</v>
      </c>
      <c r="D434" t="s">
        <v>13</v>
      </c>
      <c r="E434">
        <v>1373.06</v>
      </c>
      <c r="F434">
        <v>24</v>
      </c>
      <c r="G434" s="4" t="str">
        <f>_xlfn.XLOOKUP($B434,supplier_data!A:A,supplier_data!B:B)</f>
        <v>Logitech</v>
      </c>
    </row>
    <row r="435" spans="1:7" x14ac:dyDescent="0.25">
      <c r="A435" s="1">
        <v>45091</v>
      </c>
      <c r="B435" t="s">
        <v>19</v>
      </c>
      <c r="C435" t="s">
        <v>7</v>
      </c>
      <c r="D435" t="s">
        <v>8</v>
      </c>
      <c r="E435">
        <v>889.8</v>
      </c>
      <c r="F435">
        <v>44</v>
      </c>
      <c r="G435" s="4" t="str">
        <f>_xlfn.XLOOKUP($B435,supplier_data!A:A,supplier_data!B:B)</f>
        <v>HP</v>
      </c>
    </row>
    <row r="436" spans="1:7" x14ac:dyDescent="0.25">
      <c r="A436" s="1">
        <v>44972</v>
      </c>
      <c r="B436" t="s">
        <v>21</v>
      </c>
      <c r="C436" t="s">
        <v>7</v>
      </c>
      <c r="D436" t="s">
        <v>9</v>
      </c>
      <c r="E436">
        <v>156.09</v>
      </c>
      <c r="F436">
        <v>3</v>
      </c>
      <c r="G436" s="4" t="str">
        <f>_xlfn.XLOOKUP($B436,supplier_data!A:A,supplier_data!B:B)</f>
        <v>Sony</v>
      </c>
    </row>
    <row r="437" spans="1:7" x14ac:dyDescent="0.25">
      <c r="A437" s="1">
        <v>45162</v>
      </c>
      <c r="B437" t="s">
        <v>21</v>
      </c>
      <c r="C437" t="s">
        <v>7</v>
      </c>
      <c r="D437" t="s">
        <v>13</v>
      </c>
      <c r="E437">
        <v>938.24</v>
      </c>
      <c r="F437">
        <v>40</v>
      </c>
      <c r="G437" s="4" t="str">
        <f>_xlfn.XLOOKUP($B437,supplier_data!A:A,supplier_data!B:B)</f>
        <v>Sony</v>
      </c>
    </row>
    <row r="438" spans="1:7" x14ac:dyDescent="0.25">
      <c r="A438" s="1">
        <v>45209</v>
      </c>
      <c r="B438" t="s">
        <v>12</v>
      </c>
      <c r="C438" t="s">
        <v>7</v>
      </c>
      <c r="D438" t="s">
        <v>9</v>
      </c>
      <c r="E438">
        <v>708.24</v>
      </c>
      <c r="F438">
        <v>18</v>
      </c>
      <c r="G438" s="4" t="str">
        <f>_xlfn.XLOOKUP($B438,supplier_data!A:A,supplier_data!B:B)</f>
        <v>Dell</v>
      </c>
    </row>
    <row r="439" spans="1:7" x14ac:dyDescent="0.25">
      <c r="A439" s="1">
        <v>45181</v>
      </c>
      <c r="B439" t="s">
        <v>15</v>
      </c>
      <c r="C439" t="s">
        <v>16</v>
      </c>
      <c r="D439" t="s">
        <v>11</v>
      </c>
      <c r="E439">
        <v>1200.74</v>
      </c>
      <c r="F439">
        <v>38</v>
      </c>
      <c r="G439" s="4" t="str">
        <f>_xlfn.XLOOKUP($B439,supplier_data!A:A,supplier_data!B:B)</f>
        <v>Nike</v>
      </c>
    </row>
    <row r="440" spans="1:7" x14ac:dyDescent="0.25">
      <c r="A440" s="1">
        <v>45105</v>
      </c>
      <c r="B440" t="s">
        <v>14</v>
      </c>
      <c r="C440" t="s">
        <v>7</v>
      </c>
      <c r="D440" t="s">
        <v>8</v>
      </c>
      <c r="E440">
        <v>1193.1099999999999</v>
      </c>
      <c r="F440">
        <v>12</v>
      </c>
      <c r="G440" s="4" t="str">
        <f>_xlfn.XLOOKUP($B440,supplier_data!A:A,supplier_data!B:B)</f>
        <v>LG</v>
      </c>
    </row>
    <row r="441" spans="1:7" x14ac:dyDescent="0.25">
      <c r="A441" s="1">
        <v>45235</v>
      </c>
      <c r="B441" t="s">
        <v>14</v>
      </c>
      <c r="C441" t="s">
        <v>7</v>
      </c>
      <c r="D441" t="s">
        <v>11</v>
      </c>
      <c r="E441">
        <v>1982.66</v>
      </c>
      <c r="F441">
        <v>43</v>
      </c>
      <c r="G441" s="4" t="str">
        <f>_xlfn.XLOOKUP($B441,supplier_data!A:A,supplier_data!B:B)</f>
        <v>LG</v>
      </c>
    </row>
    <row r="442" spans="1:7" x14ac:dyDescent="0.25">
      <c r="A442" s="1">
        <v>45099</v>
      </c>
      <c r="B442" t="s">
        <v>17</v>
      </c>
      <c r="C442" t="s">
        <v>18</v>
      </c>
      <c r="D442" t="s">
        <v>8</v>
      </c>
      <c r="E442">
        <v>1698.14</v>
      </c>
      <c r="F442">
        <v>18</v>
      </c>
      <c r="G442" s="4" t="str">
        <f>_xlfn.XLOOKUP($B442,supplier_data!A:A,supplier_data!B:B)</f>
        <v>Fossil</v>
      </c>
    </row>
    <row r="443" spans="1:7" x14ac:dyDescent="0.25">
      <c r="A443" s="1">
        <v>44933</v>
      </c>
      <c r="B443" t="s">
        <v>22</v>
      </c>
      <c r="C443" t="s">
        <v>7</v>
      </c>
      <c r="D443" t="s">
        <v>8</v>
      </c>
      <c r="E443">
        <v>1014.68</v>
      </c>
      <c r="F443">
        <v>39</v>
      </c>
      <c r="G443" s="4" t="str">
        <f>_xlfn.XLOOKUP($B443,supplier_data!A:A,supplier_data!B:B)</f>
        <v>Apple</v>
      </c>
    </row>
    <row r="444" spans="1:7" x14ac:dyDescent="0.25">
      <c r="A444" s="1">
        <v>45054</v>
      </c>
      <c r="B444" t="s">
        <v>15</v>
      </c>
      <c r="C444" t="s">
        <v>16</v>
      </c>
      <c r="D444" t="s">
        <v>9</v>
      </c>
      <c r="E444">
        <v>1399.46</v>
      </c>
      <c r="F444">
        <v>35</v>
      </c>
      <c r="G444" s="4" t="str">
        <f>_xlfn.XLOOKUP($B444,supplier_data!A:A,supplier_data!B:B)</f>
        <v>Nike</v>
      </c>
    </row>
    <row r="445" spans="1:7" x14ac:dyDescent="0.25">
      <c r="A445" s="1">
        <v>45182</v>
      </c>
      <c r="B445" t="s">
        <v>10</v>
      </c>
      <c r="C445" t="s">
        <v>7</v>
      </c>
      <c r="D445" t="s">
        <v>9</v>
      </c>
      <c r="E445">
        <v>1132.21</v>
      </c>
      <c r="F445">
        <v>31</v>
      </c>
      <c r="G445" s="4" t="str">
        <f>_xlfn.XLOOKUP($B445,supplier_data!A:A,supplier_data!B:B)</f>
        <v>Samsung</v>
      </c>
    </row>
    <row r="446" spans="1:7" x14ac:dyDescent="0.25">
      <c r="A446" s="1">
        <v>45089</v>
      </c>
      <c r="B446" t="s">
        <v>19</v>
      </c>
      <c r="C446" t="s">
        <v>7</v>
      </c>
      <c r="D446" t="s">
        <v>11</v>
      </c>
      <c r="E446">
        <v>1289.4100000000001</v>
      </c>
      <c r="F446">
        <v>33</v>
      </c>
      <c r="G446" s="4" t="str">
        <f>_xlfn.XLOOKUP($B446,supplier_data!A:A,supplier_data!B:B)</f>
        <v>HP</v>
      </c>
    </row>
    <row r="447" spans="1:7" x14ac:dyDescent="0.25">
      <c r="A447" s="1">
        <v>45141</v>
      </c>
      <c r="B447" t="s">
        <v>17</v>
      </c>
      <c r="C447" t="s">
        <v>18</v>
      </c>
      <c r="D447" t="s">
        <v>13</v>
      </c>
      <c r="E447">
        <v>1270.67</v>
      </c>
      <c r="F447">
        <v>20</v>
      </c>
      <c r="G447" s="4" t="str">
        <f>_xlfn.XLOOKUP($B447,supplier_data!A:A,supplier_data!B:B)</f>
        <v>Fossil</v>
      </c>
    </row>
    <row r="448" spans="1:7" x14ac:dyDescent="0.25">
      <c r="A448" s="1">
        <v>45055</v>
      </c>
      <c r="B448" t="s">
        <v>20</v>
      </c>
      <c r="C448" t="s">
        <v>7</v>
      </c>
      <c r="D448" t="s">
        <v>9</v>
      </c>
      <c r="E448">
        <v>1068.42</v>
      </c>
      <c r="F448">
        <v>1</v>
      </c>
      <c r="G448" s="4" t="str">
        <f>_xlfn.XLOOKUP($B448,supplier_data!A:A,supplier_data!B:B)</f>
        <v>Logitech</v>
      </c>
    </row>
    <row r="449" spans="1:7" x14ac:dyDescent="0.25">
      <c r="A449" s="1">
        <v>44986</v>
      </c>
      <c r="B449" t="s">
        <v>10</v>
      </c>
      <c r="C449" t="s">
        <v>7</v>
      </c>
      <c r="D449" t="s">
        <v>11</v>
      </c>
      <c r="E449">
        <v>1592.69</v>
      </c>
      <c r="F449">
        <v>6</v>
      </c>
      <c r="G449" s="4" t="str">
        <f>_xlfn.XLOOKUP($B449,supplier_data!A:A,supplier_data!B:B)</f>
        <v>Samsung</v>
      </c>
    </row>
    <row r="450" spans="1:7" x14ac:dyDescent="0.25">
      <c r="A450" s="1">
        <v>45182</v>
      </c>
      <c r="B450" t="s">
        <v>21</v>
      </c>
      <c r="C450" t="s">
        <v>7</v>
      </c>
      <c r="D450" t="s">
        <v>11</v>
      </c>
      <c r="E450">
        <v>258.64</v>
      </c>
      <c r="F450">
        <v>44</v>
      </c>
      <c r="G450" s="4" t="str">
        <f>_xlfn.XLOOKUP($B450,supplier_data!A:A,supplier_data!B:B)</f>
        <v>Sony</v>
      </c>
    </row>
    <row r="451" spans="1:7" x14ac:dyDescent="0.25">
      <c r="A451" s="1">
        <v>45183</v>
      </c>
      <c r="B451" t="s">
        <v>6</v>
      </c>
      <c r="C451" t="s">
        <v>7</v>
      </c>
      <c r="D451" t="s">
        <v>9</v>
      </c>
      <c r="E451">
        <v>365.31</v>
      </c>
      <c r="F451">
        <v>13</v>
      </c>
      <c r="G451" s="4" t="str">
        <f>_xlfn.XLOOKUP($B451,supplier_data!A:A,supplier_data!B:B)</f>
        <v>Canon</v>
      </c>
    </row>
    <row r="452" spans="1:7" x14ac:dyDescent="0.25">
      <c r="A452" s="1">
        <v>45028</v>
      </c>
      <c r="B452" t="s">
        <v>6</v>
      </c>
      <c r="C452" t="s">
        <v>7</v>
      </c>
      <c r="D452" t="s">
        <v>11</v>
      </c>
      <c r="E452">
        <v>714.64</v>
      </c>
      <c r="F452">
        <v>21</v>
      </c>
      <c r="G452" s="4" t="str">
        <f>_xlfn.XLOOKUP($B452,supplier_data!A:A,supplier_data!B:B)</f>
        <v>Canon</v>
      </c>
    </row>
    <row r="453" spans="1:7" x14ac:dyDescent="0.25">
      <c r="A453" s="1">
        <v>44997</v>
      </c>
      <c r="B453" t="s">
        <v>21</v>
      </c>
      <c r="C453" t="s">
        <v>7</v>
      </c>
      <c r="D453" t="s">
        <v>11</v>
      </c>
      <c r="E453">
        <v>786.5</v>
      </c>
      <c r="F453">
        <v>40</v>
      </c>
      <c r="G453" s="4" t="str">
        <f>_xlfn.XLOOKUP($B453,supplier_data!A:A,supplier_data!B:B)</f>
        <v>Sony</v>
      </c>
    </row>
    <row r="454" spans="1:7" x14ac:dyDescent="0.25">
      <c r="A454" s="1">
        <v>45029</v>
      </c>
      <c r="B454" t="s">
        <v>14</v>
      </c>
      <c r="C454" t="s">
        <v>7</v>
      </c>
      <c r="D454" t="s">
        <v>11</v>
      </c>
      <c r="E454">
        <v>1684.39</v>
      </c>
      <c r="F454">
        <v>5</v>
      </c>
      <c r="G454" s="4" t="str">
        <f>_xlfn.XLOOKUP($B454,supplier_data!A:A,supplier_data!B:B)</f>
        <v>LG</v>
      </c>
    </row>
    <row r="455" spans="1:7" x14ac:dyDescent="0.25">
      <c r="A455" s="1">
        <v>45146</v>
      </c>
      <c r="B455" t="s">
        <v>20</v>
      </c>
      <c r="C455" t="s">
        <v>7</v>
      </c>
      <c r="D455" t="s">
        <v>9</v>
      </c>
      <c r="E455">
        <v>509.29</v>
      </c>
      <c r="F455">
        <v>44</v>
      </c>
      <c r="G455" s="4" t="str">
        <f>_xlfn.XLOOKUP($B455,supplier_data!A:A,supplier_data!B:B)</f>
        <v>Logitech</v>
      </c>
    </row>
    <row r="456" spans="1:7" x14ac:dyDescent="0.25">
      <c r="A456" s="1">
        <v>45078</v>
      </c>
      <c r="B456" t="s">
        <v>17</v>
      </c>
      <c r="C456" t="s">
        <v>18</v>
      </c>
      <c r="D456" t="s">
        <v>11</v>
      </c>
      <c r="E456">
        <v>1217.1600000000001</v>
      </c>
      <c r="F456">
        <v>19</v>
      </c>
      <c r="G456" s="4" t="str">
        <f>_xlfn.XLOOKUP($B456,supplier_data!A:A,supplier_data!B:B)</f>
        <v>Fossil</v>
      </c>
    </row>
    <row r="457" spans="1:7" x14ac:dyDescent="0.25">
      <c r="A457" s="1">
        <v>44969</v>
      </c>
      <c r="B457" t="s">
        <v>17</v>
      </c>
      <c r="C457" t="s">
        <v>18</v>
      </c>
      <c r="D457" t="s">
        <v>9</v>
      </c>
      <c r="E457">
        <v>1947.02</v>
      </c>
      <c r="F457">
        <v>22</v>
      </c>
      <c r="G457" s="4" t="str">
        <f>_xlfn.XLOOKUP($B457,supplier_data!A:A,supplier_data!B:B)</f>
        <v>Fossil</v>
      </c>
    </row>
    <row r="458" spans="1:7" x14ac:dyDescent="0.25">
      <c r="A458" s="1">
        <v>44986</v>
      </c>
      <c r="B458" t="s">
        <v>10</v>
      </c>
      <c r="C458" t="s">
        <v>7</v>
      </c>
      <c r="D458" t="s">
        <v>8</v>
      </c>
      <c r="E458">
        <v>1535.14</v>
      </c>
      <c r="F458">
        <v>31</v>
      </c>
      <c r="G458" s="4" t="str">
        <f>_xlfn.XLOOKUP($B458,supplier_data!A:A,supplier_data!B:B)</f>
        <v>Samsung</v>
      </c>
    </row>
    <row r="459" spans="1:7" x14ac:dyDescent="0.25">
      <c r="A459" s="1">
        <v>45103</v>
      </c>
      <c r="B459" t="s">
        <v>19</v>
      </c>
      <c r="C459" t="s">
        <v>7</v>
      </c>
      <c r="D459" t="s">
        <v>11</v>
      </c>
      <c r="E459">
        <v>120.51</v>
      </c>
      <c r="F459">
        <v>49</v>
      </c>
      <c r="G459" s="4" t="str">
        <f>_xlfn.XLOOKUP($B459,supplier_data!A:A,supplier_data!B:B)</f>
        <v>HP</v>
      </c>
    </row>
    <row r="460" spans="1:7" x14ac:dyDescent="0.25">
      <c r="A460" s="1">
        <v>45291</v>
      </c>
      <c r="B460" t="s">
        <v>22</v>
      </c>
      <c r="C460" t="s">
        <v>7</v>
      </c>
      <c r="D460" t="s">
        <v>9</v>
      </c>
      <c r="E460">
        <v>1575.94</v>
      </c>
      <c r="F460">
        <v>10</v>
      </c>
      <c r="G460" s="4" t="str">
        <f>_xlfn.XLOOKUP($B460,supplier_data!A:A,supplier_data!B:B)</f>
        <v>Apple</v>
      </c>
    </row>
    <row r="461" spans="1:7" x14ac:dyDescent="0.25">
      <c r="A461" s="1">
        <v>45180</v>
      </c>
      <c r="B461" t="s">
        <v>10</v>
      </c>
      <c r="C461" t="s">
        <v>7</v>
      </c>
      <c r="D461" t="s">
        <v>11</v>
      </c>
      <c r="E461">
        <v>185.53</v>
      </c>
      <c r="F461">
        <v>31</v>
      </c>
      <c r="G461" s="4" t="str">
        <f>_xlfn.XLOOKUP($B461,supplier_data!A:A,supplier_data!B:B)</f>
        <v>Samsung</v>
      </c>
    </row>
    <row r="462" spans="1:7" x14ac:dyDescent="0.25">
      <c r="A462" s="1">
        <v>44951</v>
      </c>
      <c r="B462" t="s">
        <v>14</v>
      </c>
      <c r="C462" t="s">
        <v>7</v>
      </c>
      <c r="D462" t="s">
        <v>11</v>
      </c>
      <c r="E462">
        <v>522.29999999999995</v>
      </c>
      <c r="F462">
        <v>27</v>
      </c>
      <c r="G462" s="4" t="str">
        <f>_xlfn.XLOOKUP($B462,supplier_data!A:A,supplier_data!B:B)</f>
        <v>LG</v>
      </c>
    </row>
    <row r="463" spans="1:7" x14ac:dyDescent="0.25">
      <c r="A463" s="1">
        <v>44941</v>
      </c>
      <c r="B463" t="s">
        <v>21</v>
      </c>
      <c r="C463" t="s">
        <v>7</v>
      </c>
      <c r="D463" t="s">
        <v>8</v>
      </c>
      <c r="E463">
        <v>920</v>
      </c>
      <c r="F463">
        <v>5</v>
      </c>
      <c r="G463" s="4" t="str">
        <f>_xlfn.XLOOKUP($B463,supplier_data!A:A,supplier_data!B:B)</f>
        <v>Sony</v>
      </c>
    </row>
    <row r="464" spans="1:7" x14ac:dyDescent="0.25">
      <c r="A464" s="1">
        <v>44995</v>
      </c>
      <c r="B464" t="s">
        <v>19</v>
      </c>
      <c r="C464" t="s">
        <v>7</v>
      </c>
      <c r="D464" t="s">
        <v>11</v>
      </c>
      <c r="E464">
        <v>1855.04</v>
      </c>
      <c r="F464">
        <v>28</v>
      </c>
      <c r="G464" s="4" t="str">
        <f>_xlfn.XLOOKUP($B464,supplier_data!A:A,supplier_data!B:B)</f>
        <v>HP</v>
      </c>
    </row>
    <row r="465" spans="1:7" x14ac:dyDescent="0.25">
      <c r="A465" s="1">
        <v>44935</v>
      </c>
      <c r="B465" t="s">
        <v>17</v>
      </c>
      <c r="C465" t="s">
        <v>18</v>
      </c>
      <c r="D465" t="s">
        <v>13</v>
      </c>
      <c r="E465">
        <v>1121.3699999999999</v>
      </c>
      <c r="F465">
        <v>34</v>
      </c>
      <c r="G465" s="4" t="str">
        <f>_xlfn.XLOOKUP($B465,supplier_data!A:A,supplier_data!B:B)</f>
        <v>Fossil</v>
      </c>
    </row>
    <row r="466" spans="1:7" x14ac:dyDescent="0.25">
      <c r="A466" s="1">
        <v>45266</v>
      </c>
      <c r="B466" t="s">
        <v>20</v>
      </c>
      <c r="C466" t="s">
        <v>7</v>
      </c>
      <c r="D466" t="s">
        <v>11</v>
      </c>
      <c r="E466">
        <v>1798.54</v>
      </c>
      <c r="F466">
        <v>22</v>
      </c>
      <c r="G466" s="4" t="str">
        <f>_xlfn.XLOOKUP($B466,supplier_data!A:A,supplier_data!B:B)</f>
        <v>Logitech</v>
      </c>
    </row>
    <row r="467" spans="1:7" x14ac:dyDescent="0.25">
      <c r="A467" s="1">
        <v>45107</v>
      </c>
      <c r="B467" t="s">
        <v>19</v>
      </c>
      <c r="C467" t="s">
        <v>7</v>
      </c>
      <c r="D467" t="s">
        <v>8</v>
      </c>
      <c r="E467">
        <v>386.93</v>
      </c>
      <c r="F467">
        <v>46</v>
      </c>
      <c r="G467" s="4" t="str">
        <f>_xlfn.XLOOKUP($B467,supplier_data!A:A,supplier_data!B:B)</f>
        <v>HP</v>
      </c>
    </row>
    <row r="468" spans="1:7" x14ac:dyDescent="0.25">
      <c r="A468" s="1">
        <v>45121</v>
      </c>
      <c r="B468" t="s">
        <v>6</v>
      </c>
      <c r="C468" t="s">
        <v>7</v>
      </c>
      <c r="D468" t="s">
        <v>11</v>
      </c>
      <c r="E468">
        <v>1749.32</v>
      </c>
      <c r="F468">
        <v>18</v>
      </c>
      <c r="G468" s="4" t="str">
        <f>_xlfn.XLOOKUP($B468,supplier_data!A:A,supplier_data!B:B)</f>
        <v>Canon</v>
      </c>
    </row>
    <row r="469" spans="1:7" x14ac:dyDescent="0.25">
      <c r="A469" s="1">
        <v>45213</v>
      </c>
      <c r="B469" t="s">
        <v>17</v>
      </c>
      <c r="C469" t="s">
        <v>18</v>
      </c>
      <c r="D469" t="s">
        <v>9</v>
      </c>
      <c r="E469">
        <v>1687.8</v>
      </c>
      <c r="F469">
        <v>1</v>
      </c>
      <c r="G469" s="4" t="str">
        <f>_xlfn.XLOOKUP($B469,supplier_data!A:A,supplier_data!B:B)</f>
        <v>Fossil</v>
      </c>
    </row>
    <row r="470" spans="1:7" x14ac:dyDescent="0.25">
      <c r="A470" s="1">
        <v>45087</v>
      </c>
      <c r="B470" t="s">
        <v>14</v>
      </c>
      <c r="C470" t="s">
        <v>7</v>
      </c>
      <c r="D470" t="s">
        <v>11</v>
      </c>
      <c r="E470">
        <v>1546.98</v>
      </c>
      <c r="F470">
        <v>40</v>
      </c>
      <c r="G470" s="4" t="str">
        <f>_xlfn.XLOOKUP($B470,supplier_data!A:A,supplier_data!B:B)</f>
        <v>LG</v>
      </c>
    </row>
    <row r="471" spans="1:7" x14ac:dyDescent="0.25">
      <c r="A471" s="1">
        <v>45177</v>
      </c>
      <c r="B471" t="s">
        <v>14</v>
      </c>
      <c r="C471" t="s">
        <v>7</v>
      </c>
      <c r="D471" t="s">
        <v>13</v>
      </c>
      <c r="E471">
        <v>1880.01</v>
      </c>
      <c r="F471">
        <v>2</v>
      </c>
      <c r="G471" s="4" t="str">
        <f>_xlfn.XLOOKUP($B471,supplier_data!A:A,supplier_data!B:B)</f>
        <v>LG</v>
      </c>
    </row>
    <row r="472" spans="1:7" x14ac:dyDescent="0.25">
      <c r="A472" s="1">
        <v>44955</v>
      </c>
      <c r="B472" t="s">
        <v>20</v>
      </c>
      <c r="C472" t="s">
        <v>7</v>
      </c>
      <c r="D472" t="s">
        <v>11</v>
      </c>
      <c r="E472">
        <v>1046.73</v>
      </c>
      <c r="F472">
        <v>43</v>
      </c>
      <c r="G472" s="4" t="str">
        <f>_xlfn.XLOOKUP($B472,supplier_data!A:A,supplier_data!B:B)</f>
        <v>Logitech</v>
      </c>
    </row>
    <row r="473" spans="1:7" x14ac:dyDescent="0.25">
      <c r="A473" s="1">
        <v>45172</v>
      </c>
      <c r="B473" t="s">
        <v>10</v>
      </c>
      <c r="C473" t="s">
        <v>7</v>
      </c>
      <c r="D473" t="s">
        <v>8</v>
      </c>
      <c r="E473">
        <v>1703.74</v>
      </c>
      <c r="F473">
        <v>4</v>
      </c>
      <c r="G473" s="4" t="str">
        <f>_xlfn.XLOOKUP($B473,supplier_data!A:A,supplier_data!B:B)</f>
        <v>Samsung</v>
      </c>
    </row>
    <row r="474" spans="1:7" x14ac:dyDescent="0.25">
      <c r="A474" s="1">
        <v>45001</v>
      </c>
      <c r="B474" t="s">
        <v>17</v>
      </c>
      <c r="C474" t="s">
        <v>18</v>
      </c>
      <c r="D474" t="s">
        <v>8</v>
      </c>
      <c r="E474">
        <v>1048.3599999999999</v>
      </c>
      <c r="F474">
        <v>35</v>
      </c>
      <c r="G474" s="4" t="str">
        <f>_xlfn.XLOOKUP($B474,supplier_data!A:A,supplier_data!B:B)</f>
        <v>Fossil</v>
      </c>
    </row>
    <row r="475" spans="1:7" x14ac:dyDescent="0.25">
      <c r="A475" s="1">
        <v>45058</v>
      </c>
      <c r="B475" t="s">
        <v>21</v>
      </c>
      <c r="C475" t="s">
        <v>7</v>
      </c>
      <c r="D475" t="s">
        <v>8</v>
      </c>
      <c r="E475">
        <v>694.82</v>
      </c>
      <c r="F475">
        <v>50</v>
      </c>
      <c r="G475" s="4" t="str">
        <f>_xlfn.XLOOKUP($B475,supplier_data!A:A,supplier_data!B:B)</f>
        <v>Sony</v>
      </c>
    </row>
    <row r="476" spans="1:7" x14ac:dyDescent="0.25">
      <c r="A476" s="1">
        <v>45281</v>
      </c>
      <c r="B476" t="s">
        <v>6</v>
      </c>
      <c r="C476" t="s">
        <v>7</v>
      </c>
      <c r="D476" t="s">
        <v>9</v>
      </c>
      <c r="E476">
        <v>506.32</v>
      </c>
      <c r="F476">
        <v>24</v>
      </c>
      <c r="G476" s="4" t="str">
        <f>_xlfn.XLOOKUP($B476,supplier_data!A:A,supplier_data!B:B)</f>
        <v>Canon</v>
      </c>
    </row>
    <row r="477" spans="1:7" x14ac:dyDescent="0.25">
      <c r="A477" s="1">
        <v>45186</v>
      </c>
      <c r="B477" t="s">
        <v>12</v>
      </c>
      <c r="C477" t="s">
        <v>7</v>
      </c>
      <c r="D477" t="s">
        <v>11</v>
      </c>
      <c r="E477">
        <v>1225.42</v>
      </c>
      <c r="F477">
        <v>14</v>
      </c>
      <c r="G477" s="4" t="str">
        <f>_xlfn.XLOOKUP($B477,supplier_data!A:A,supplier_data!B:B)</f>
        <v>Dell</v>
      </c>
    </row>
    <row r="478" spans="1:7" x14ac:dyDescent="0.25">
      <c r="A478" s="1">
        <v>45143</v>
      </c>
      <c r="B478" t="s">
        <v>17</v>
      </c>
      <c r="C478" t="s">
        <v>18</v>
      </c>
      <c r="D478" t="s">
        <v>9</v>
      </c>
      <c r="E478">
        <v>1560.41</v>
      </c>
      <c r="F478">
        <v>36</v>
      </c>
      <c r="G478" s="4" t="str">
        <f>_xlfn.XLOOKUP($B478,supplier_data!A:A,supplier_data!B:B)</f>
        <v>Fossil</v>
      </c>
    </row>
    <row r="479" spans="1:7" x14ac:dyDescent="0.25">
      <c r="A479" s="1">
        <v>44997</v>
      </c>
      <c r="B479" t="s">
        <v>15</v>
      </c>
      <c r="C479" t="s">
        <v>16</v>
      </c>
      <c r="D479" t="s">
        <v>9</v>
      </c>
      <c r="E479">
        <v>1622.69</v>
      </c>
      <c r="F479">
        <v>35</v>
      </c>
      <c r="G479" s="4" t="str">
        <f>_xlfn.XLOOKUP($B479,supplier_data!A:A,supplier_data!B:B)</f>
        <v>Nike</v>
      </c>
    </row>
    <row r="480" spans="1:7" x14ac:dyDescent="0.25">
      <c r="A480" s="1">
        <v>45283</v>
      </c>
      <c r="B480" t="s">
        <v>20</v>
      </c>
      <c r="C480" t="s">
        <v>7</v>
      </c>
      <c r="D480" t="s">
        <v>11</v>
      </c>
      <c r="E480">
        <v>1117.0999999999999</v>
      </c>
      <c r="F480">
        <v>1</v>
      </c>
      <c r="G480" s="4" t="str">
        <f>_xlfn.XLOOKUP($B480,supplier_data!A:A,supplier_data!B:B)</f>
        <v>Logitech</v>
      </c>
    </row>
    <row r="481" spans="1:7" x14ac:dyDescent="0.25">
      <c r="A481" s="1">
        <v>44961</v>
      </c>
      <c r="B481" t="s">
        <v>10</v>
      </c>
      <c r="C481" t="s">
        <v>7</v>
      </c>
      <c r="D481" t="s">
        <v>13</v>
      </c>
      <c r="E481">
        <v>1642.08</v>
      </c>
      <c r="F481">
        <v>33</v>
      </c>
      <c r="G481" s="4" t="str">
        <f>_xlfn.XLOOKUP($B481,supplier_data!A:A,supplier_data!B:B)</f>
        <v>Samsung</v>
      </c>
    </row>
    <row r="482" spans="1:7" x14ac:dyDescent="0.25">
      <c r="A482" s="1">
        <v>45089</v>
      </c>
      <c r="B482" t="s">
        <v>12</v>
      </c>
      <c r="C482" t="s">
        <v>7</v>
      </c>
      <c r="D482" t="s">
        <v>8</v>
      </c>
      <c r="E482">
        <v>608.91</v>
      </c>
      <c r="F482">
        <v>43</v>
      </c>
      <c r="G482" s="4" t="str">
        <f>_xlfn.XLOOKUP($B482,supplier_data!A:A,supplier_data!B:B)</f>
        <v>Dell</v>
      </c>
    </row>
    <row r="483" spans="1:7" x14ac:dyDescent="0.25">
      <c r="A483" s="1">
        <v>44972</v>
      </c>
      <c r="B483" t="s">
        <v>6</v>
      </c>
      <c r="C483" t="s">
        <v>7</v>
      </c>
      <c r="D483" t="s">
        <v>9</v>
      </c>
      <c r="E483">
        <v>1607.44</v>
      </c>
      <c r="F483">
        <v>9</v>
      </c>
      <c r="G483" s="4" t="str">
        <f>_xlfn.XLOOKUP($B483,supplier_data!A:A,supplier_data!B:B)</f>
        <v>Canon</v>
      </c>
    </row>
    <row r="484" spans="1:7" x14ac:dyDescent="0.25">
      <c r="A484" s="1">
        <v>44994</v>
      </c>
      <c r="B484" t="s">
        <v>19</v>
      </c>
      <c r="C484" t="s">
        <v>7</v>
      </c>
      <c r="D484" t="s">
        <v>8</v>
      </c>
      <c r="E484">
        <v>1513.74</v>
      </c>
      <c r="F484">
        <v>12</v>
      </c>
      <c r="G484" s="4" t="str">
        <f>_xlfn.XLOOKUP($B484,supplier_data!A:A,supplier_data!B:B)</f>
        <v>HP</v>
      </c>
    </row>
    <row r="485" spans="1:7" x14ac:dyDescent="0.25">
      <c r="A485" s="1">
        <v>45171</v>
      </c>
      <c r="B485" t="s">
        <v>14</v>
      </c>
      <c r="C485" t="s">
        <v>7</v>
      </c>
      <c r="D485" t="s">
        <v>13</v>
      </c>
      <c r="E485">
        <v>739.44</v>
      </c>
      <c r="F485">
        <v>19</v>
      </c>
      <c r="G485" s="4" t="str">
        <f>_xlfn.XLOOKUP($B485,supplier_data!A:A,supplier_data!B:B)</f>
        <v>LG</v>
      </c>
    </row>
    <row r="486" spans="1:7" x14ac:dyDescent="0.25">
      <c r="A486" s="1">
        <v>44957</v>
      </c>
      <c r="B486" t="s">
        <v>19</v>
      </c>
      <c r="C486" t="s">
        <v>7</v>
      </c>
      <c r="D486" t="s">
        <v>9</v>
      </c>
      <c r="E486">
        <v>691.43</v>
      </c>
      <c r="F486">
        <v>12</v>
      </c>
      <c r="G486" s="4" t="str">
        <f>_xlfn.XLOOKUP($B486,supplier_data!A:A,supplier_data!B:B)</f>
        <v>HP</v>
      </c>
    </row>
    <row r="487" spans="1:7" x14ac:dyDescent="0.25">
      <c r="A487" s="1">
        <v>45102</v>
      </c>
      <c r="B487" t="s">
        <v>12</v>
      </c>
      <c r="C487" t="s">
        <v>7</v>
      </c>
      <c r="D487" t="s">
        <v>13</v>
      </c>
      <c r="E487">
        <v>777.48</v>
      </c>
      <c r="F487">
        <v>46</v>
      </c>
      <c r="G487" s="4" t="str">
        <f>_xlfn.XLOOKUP($B487,supplier_data!A:A,supplier_data!B:B)</f>
        <v>Dell</v>
      </c>
    </row>
    <row r="488" spans="1:7" x14ac:dyDescent="0.25">
      <c r="A488" s="1">
        <v>45271</v>
      </c>
      <c r="B488" t="s">
        <v>10</v>
      </c>
      <c r="C488" t="s">
        <v>7</v>
      </c>
      <c r="D488" t="s">
        <v>11</v>
      </c>
      <c r="E488">
        <v>1810.45</v>
      </c>
      <c r="F488">
        <v>9</v>
      </c>
      <c r="G488" s="4" t="str">
        <f>_xlfn.XLOOKUP($B488,supplier_data!A:A,supplier_data!B:B)</f>
        <v>Samsung</v>
      </c>
    </row>
    <row r="489" spans="1:7" x14ac:dyDescent="0.25">
      <c r="A489" s="1">
        <v>44973</v>
      </c>
      <c r="B489" t="s">
        <v>19</v>
      </c>
      <c r="C489" t="s">
        <v>7</v>
      </c>
      <c r="D489" t="s">
        <v>13</v>
      </c>
      <c r="E489">
        <v>1724.69</v>
      </c>
      <c r="F489">
        <v>50</v>
      </c>
      <c r="G489" s="4" t="str">
        <f>_xlfn.XLOOKUP($B489,supplier_data!A:A,supplier_data!B:B)</f>
        <v>HP</v>
      </c>
    </row>
    <row r="490" spans="1:7" x14ac:dyDescent="0.25">
      <c r="A490" s="1">
        <v>44932</v>
      </c>
      <c r="B490" t="s">
        <v>6</v>
      </c>
      <c r="C490" t="s">
        <v>7</v>
      </c>
      <c r="D490" t="s">
        <v>13</v>
      </c>
      <c r="E490">
        <v>1801.56</v>
      </c>
      <c r="F490">
        <v>12</v>
      </c>
      <c r="G490" s="4" t="str">
        <f>_xlfn.XLOOKUP($B490,supplier_data!A:A,supplier_data!B:B)</f>
        <v>Canon</v>
      </c>
    </row>
    <row r="491" spans="1:7" x14ac:dyDescent="0.25">
      <c r="A491" s="1">
        <v>45286</v>
      </c>
      <c r="B491" t="s">
        <v>21</v>
      </c>
      <c r="C491" t="s">
        <v>7</v>
      </c>
      <c r="D491" t="s">
        <v>8</v>
      </c>
      <c r="E491">
        <v>1472.77</v>
      </c>
      <c r="F491">
        <v>23</v>
      </c>
      <c r="G491" s="4" t="str">
        <f>_xlfn.XLOOKUP($B491,supplier_data!A:A,supplier_data!B:B)</f>
        <v>Sony</v>
      </c>
    </row>
    <row r="492" spans="1:7" x14ac:dyDescent="0.25">
      <c r="A492" s="1">
        <v>45039</v>
      </c>
      <c r="B492" t="s">
        <v>15</v>
      </c>
      <c r="C492" t="s">
        <v>16</v>
      </c>
      <c r="D492" t="s">
        <v>11</v>
      </c>
      <c r="E492">
        <v>1296.69</v>
      </c>
      <c r="F492">
        <v>15</v>
      </c>
      <c r="G492" s="4" t="str">
        <f>_xlfn.XLOOKUP($B492,supplier_data!A:A,supplier_data!B:B)</f>
        <v>Nike</v>
      </c>
    </row>
    <row r="493" spans="1:7" x14ac:dyDescent="0.25">
      <c r="A493" s="1">
        <v>45259</v>
      </c>
      <c r="B493" t="s">
        <v>20</v>
      </c>
      <c r="C493" t="s">
        <v>7</v>
      </c>
      <c r="D493" t="s">
        <v>8</v>
      </c>
      <c r="E493">
        <v>739.99</v>
      </c>
      <c r="F493">
        <v>11</v>
      </c>
      <c r="G493" s="4" t="str">
        <f>_xlfn.XLOOKUP($B493,supplier_data!A:A,supplier_data!B:B)</f>
        <v>Logitech</v>
      </c>
    </row>
    <row r="494" spans="1:7" x14ac:dyDescent="0.25">
      <c r="A494" s="1">
        <v>44968</v>
      </c>
      <c r="B494" t="s">
        <v>21</v>
      </c>
      <c r="C494" t="s">
        <v>7</v>
      </c>
      <c r="D494" t="s">
        <v>8</v>
      </c>
      <c r="E494">
        <v>634.07000000000005</v>
      </c>
      <c r="F494">
        <v>22</v>
      </c>
      <c r="G494" s="4" t="str">
        <f>_xlfn.XLOOKUP($B494,supplier_data!A:A,supplier_data!B:B)</f>
        <v>Sony</v>
      </c>
    </row>
    <row r="495" spans="1:7" x14ac:dyDescent="0.25">
      <c r="A495" s="1">
        <v>45150</v>
      </c>
      <c r="B495" t="s">
        <v>22</v>
      </c>
      <c r="C495" t="s">
        <v>7</v>
      </c>
      <c r="D495" t="s">
        <v>11</v>
      </c>
      <c r="E495">
        <v>1190.3800000000001</v>
      </c>
      <c r="F495">
        <v>11</v>
      </c>
      <c r="G495" s="4" t="str">
        <f>_xlfn.XLOOKUP($B495,supplier_data!A:A,supplier_data!B:B)</f>
        <v>Apple</v>
      </c>
    </row>
    <row r="496" spans="1:7" x14ac:dyDescent="0.25">
      <c r="A496" s="1">
        <v>45202</v>
      </c>
      <c r="B496" t="s">
        <v>14</v>
      </c>
      <c r="C496" t="s">
        <v>7</v>
      </c>
      <c r="D496" t="s">
        <v>13</v>
      </c>
      <c r="E496">
        <v>1050.98</v>
      </c>
      <c r="F496">
        <v>46</v>
      </c>
      <c r="G496" s="4" t="str">
        <f>_xlfn.XLOOKUP($B496,supplier_data!A:A,supplier_data!B:B)</f>
        <v>LG</v>
      </c>
    </row>
    <row r="497" spans="1:7" x14ac:dyDescent="0.25">
      <c r="A497" s="1">
        <v>45067</v>
      </c>
      <c r="B497" t="s">
        <v>19</v>
      </c>
      <c r="C497" t="s">
        <v>7</v>
      </c>
      <c r="D497" t="s">
        <v>13</v>
      </c>
      <c r="E497">
        <v>1685.38</v>
      </c>
      <c r="F497">
        <v>9</v>
      </c>
      <c r="G497" s="4" t="str">
        <f>_xlfn.XLOOKUP($B497,supplier_data!A:A,supplier_data!B:B)</f>
        <v>HP</v>
      </c>
    </row>
    <row r="498" spans="1:7" x14ac:dyDescent="0.25">
      <c r="A498" s="1">
        <v>45076</v>
      </c>
      <c r="B498" t="s">
        <v>15</v>
      </c>
      <c r="C498" t="s">
        <v>16</v>
      </c>
      <c r="D498" t="s">
        <v>9</v>
      </c>
      <c r="E498">
        <v>1792.99</v>
      </c>
      <c r="F498">
        <v>31</v>
      </c>
      <c r="G498" s="4" t="str">
        <f>_xlfn.XLOOKUP($B498,supplier_data!A:A,supplier_data!B:B)</f>
        <v>Nike</v>
      </c>
    </row>
    <row r="499" spans="1:7" x14ac:dyDescent="0.25">
      <c r="A499" s="1">
        <v>45130</v>
      </c>
      <c r="B499" t="s">
        <v>6</v>
      </c>
      <c r="C499" t="s">
        <v>7</v>
      </c>
      <c r="D499" t="s">
        <v>11</v>
      </c>
      <c r="E499">
        <v>166.63</v>
      </c>
      <c r="F499">
        <v>13</v>
      </c>
      <c r="G499" s="4" t="str">
        <f>_xlfn.XLOOKUP($B499,supplier_data!A:A,supplier_data!B:B)</f>
        <v>Canon</v>
      </c>
    </row>
    <row r="500" spans="1:7" x14ac:dyDescent="0.25">
      <c r="A500" s="1">
        <v>45051</v>
      </c>
      <c r="B500" t="s">
        <v>12</v>
      </c>
      <c r="C500" t="s">
        <v>7</v>
      </c>
      <c r="D500" t="s">
        <v>8</v>
      </c>
      <c r="E500">
        <v>1919.71</v>
      </c>
      <c r="F500">
        <v>3</v>
      </c>
      <c r="G500" s="4" t="str">
        <f>_xlfn.XLOOKUP($B500,supplier_data!A:A,supplier_data!B:B)</f>
        <v>Dell</v>
      </c>
    </row>
    <row r="501" spans="1:7" x14ac:dyDescent="0.25">
      <c r="A501" s="1">
        <v>45024</v>
      </c>
      <c r="B501" t="s">
        <v>14</v>
      </c>
      <c r="C501" t="s">
        <v>7</v>
      </c>
      <c r="D501" t="s">
        <v>9</v>
      </c>
      <c r="E501">
        <v>338.99</v>
      </c>
      <c r="F501">
        <v>36</v>
      </c>
      <c r="G501" s="4" t="str">
        <f>_xlfn.XLOOKUP($B501,supplier_data!A:A,supplier_data!B:B)</f>
        <v>LG</v>
      </c>
    </row>
    <row r="502" spans="1:7" x14ac:dyDescent="0.25">
      <c r="A502" s="1">
        <v>45039</v>
      </c>
      <c r="B502" t="s">
        <v>20</v>
      </c>
      <c r="C502" t="s">
        <v>7</v>
      </c>
      <c r="D502" t="s">
        <v>8</v>
      </c>
      <c r="E502">
        <v>1672.92</v>
      </c>
      <c r="F502">
        <v>43</v>
      </c>
      <c r="G502" s="4" t="str">
        <f>_xlfn.XLOOKUP($B502,supplier_data!A:A,supplier_data!B:B)</f>
        <v>Logitech</v>
      </c>
    </row>
    <row r="503" spans="1:7" x14ac:dyDescent="0.25">
      <c r="A503" s="1">
        <v>45129</v>
      </c>
      <c r="B503" t="s">
        <v>12</v>
      </c>
      <c r="C503" t="s">
        <v>7</v>
      </c>
      <c r="D503" t="s">
        <v>11</v>
      </c>
      <c r="E503">
        <v>824.82</v>
      </c>
      <c r="F503">
        <v>21</v>
      </c>
      <c r="G503" s="4" t="str">
        <f>_xlfn.XLOOKUP($B503,supplier_data!A:A,supplier_data!B:B)</f>
        <v>Dell</v>
      </c>
    </row>
    <row r="504" spans="1:7" x14ac:dyDescent="0.25">
      <c r="A504" s="1">
        <v>44993</v>
      </c>
      <c r="B504" t="s">
        <v>17</v>
      </c>
      <c r="C504" t="s">
        <v>18</v>
      </c>
      <c r="D504" t="s">
        <v>9</v>
      </c>
      <c r="E504">
        <v>1119.8599999999999</v>
      </c>
      <c r="F504">
        <v>47</v>
      </c>
      <c r="G504" s="4" t="str">
        <f>_xlfn.XLOOKUP($B504,supplier_data!A:A,supplier_data!B:B)</f>
        <v>Fossil</v>
      </c>
    </row>
    <row r="505" spans="1:7" x14ac:dyDescent="0.25">
      <c r="A505" s="1">
        <v>45106</v>
      </c>
      <c r="B505" t="s">
        <v>21</v>
      </c>
      <c r="C505" t="s">
        <v>7</v>
      </c>
      <c r="D505" t="s">
        <v>11</v>
      </c>
      <c r="E505">
        <v>1506.87</v>
      </c>
      <c r="F505">
        <v>23</v>
      </c>
      <c r="G505" s="4" t="str">
        <f>_xlfn.XLOOKUP($B505,supplier_data!A:A,supplier_data!B:B)</f>
        <v>Sony</v>
      </c>
    </row>
    <row r="506" spans="1:7" x14ac:dyDescent="0.25">
      <c r="A506" s="1">
        <v>45068</v>
      </c>
      <c r="B506" t="s">
        <v>22</v>
      </c>
      <c r="C506" t="s">
        <v>7</v>
      </c>
      <c r="D506" t="s">
        <v>13</v>
      </c>
      <c r="E506">
        <v>1180.1600000000001</v>
      </c>
      <c r="F506">
        <v>14</v>
      </c>
      <c r="G506" s="4" t="str">
        <f>_xlfn.XLOOKUP($B506,supplier_data!A:A,supplier_data!B:B)</f>
        <v>Apple</v>
      </c>
    </row>
    <row r="507" spans="1:7" x14ac:dyDescent="0.25">
      <c r="A507" s="1">
        <v>45243</v>
      </c>
      <c r="B507" t="s">
        <v>20</v>
      </c>
      <c r="C507" t="s">
        <v>7</v>
      </c>
      <c r="D507" t="s">
        <v>13</v>
      </c>
      <c r="E507">
        <v>398.47</v>
      </c>
      <c r="F507">
        <v>28</v>
      </c>
      <c r="G507" s="4" t="str">
        <f>_xlfn.XLOOKUP($B507,supplier_data!A:A,supplier_data!B:B)</f>
        <v>Logitech</v>
      </c>
    </row>
    <row r="508" spans="1:7" x14ac:dyDescent="0.25">
      <c r="A508" s="1">
        <v>45147</v>
      </c>
      <c r="B508" t="s">
        <v>22</v>
      </c>
      <c r="C508" t="s">
        <v>7</v>
      </c>
      <c r="D508" t="s">
        <v>9</v>
      </c>
      <c r="E508">
        <v>1744.86</v>
      </c>
      <c r="F508">
        <v>16</v>
      </c>
      <c r="G508" s="4" t="str">
        <f>_xlfn.XLOOKUP($B508,supplier_data!A:A,supplier_data!B:B)</f>
        <v>Apple</v>
      </c>
    </row>
    <row r="509" spans="1:7" x14ac:dyDescent="0.25">
      <c r="A509" s="1">
        <v>45127</v>
      </c>
      <c r="B509" t="s">
        <v>19</v>
      </c>
      <c r="C509" t="s">
        <v>7</v>
      </c>
      <c r="D509" t="s">
        <v>13</v>
      </c>
      <c r="E509">
        <v>731</v>
      </c>
      <c r="F509">
        <v>7</v>
      </c>
      <c r="G509" s="4" t="str">
        <f>_xlfn.XLOOKUP($B509,supplier_data!A:A,supplier_data!B:B)</f>
        <v>HP</v>
      </c>
    </row>
    <row r="510" spans="1:7" x14ac:dyDescent="0.25">
      <c r="A510" s="1">
        <v>44935</v>
      </c>
      <c r="B510" t="s">
        <v>15</v>
      </c>
      <c r="C510" t="s">
        <v>16</v>
      </c>
      <c r="D510" t="s">
        <v>8</v>
      </c>
      <c r="E510">
        <v>650.16999999999996</v>
      </c>
      <c r="F510">
        <v>47</v>
      </c>
      <c r="G510" s="4" t="str">
        <f>_xlfn.XLOOKUP($B510,supplier_data!A:A,supplier_data!B:B)</f>
        <v>Nike</v>
      </c>
    </row>
    <row r="511" spans="1:7" x14ac:dyDescent="0.25">
      <c r="A511" s="1">
        <v>45037</v>
      </c>
      <c r="B511" t="s">
        <v>20</v>
      </c>
      <c r="C511" t="s">
        <v>7</v>
      </c>
      <c r="D511" t="s">
        <v>8</v>
      </c>
      <c r="E511">
        <v>1207.45</v>
      </c>
      <c r="F511">
        <v>13</v>
      </c>
      <c r="G511" s="4" t="str">
        <f>_xlfn.XLOOKUP($B511,supplier_data!A:A,supplier_data!B:B)</f>
        <v>Logitech</v>
      </c>
    </row>
    <row r="512" spans="1:7" x14ac:dyDescent="0.25">
      <c r="A512" s="1">
        <v>45180</v>
      </c>
      <c r="B512" t="s">
        <v>20</v>
      </c>
      <c r="C512" t="s">
        <v>7</v>
      </c>
      <c r="D512" t="s">
        <v>13</v>
      </c>
      <c r="E512">
        <v>1986.09</v>
      </c>
      <c r="F512">
        <v>33</v>
      </c>
      <c r="G512" s="4" t="str">
        <f>_xlfn.XLOOKUP($B512,supplier_data!A:A,supplier_data!B:B)</f>
        <v>Logitech</v>
      </c>
    </row>
    <row r="513" spans="1:7" x14ac:dyDescent="0.25">
      <c r="A513" s="1">
        <v>45185</v>
      </c>
      <c r="B513" t="s">
        <v>22</v>
      </c>
      <c r="C513" t="s">
        <v>7</v>
      </c>
      <c r="D513" t="s">
        <v>9</v>
      </c>
      <c r="E513">
        <v>1285.94</v>
      </c>
      <c r="F513">
        <v>49</v>
      </c>
      <c r="G513" s="4" t="str">
        <f>_xlfn.XLOOKUP($B513,supplier_data!A:A,supplier_data!B:B)</f>
        <v>Apple</v>
      </c>
    </row>
    <row r="514" spans="1:7" x14ac:dyDescent="0.25">
      <c r="A514" s="1">
        <v>45027</v>
      </c>
      <c r="B514" t="s">
        <v>6</v>
      </c>
      <c r="C514" t="s">
        <v>7</v>
      </c>
      <c r="D514" t="s">
        <v>11</v>
      </c>
      <c r="E514">
        <v>1292.3599999999999</v>
      </c>
      <c r="F514">
        <v>40</v>
      </c>
      <c r="G514" s="4" t="str">
        <f>_xlfn.XLOOKUP($B514,supplier_data!A:A,supplier_data!B:B)</f>
        <v>Canon</v>
      </c>
    </row>
    <row r="515" spans="1:7" x14ac:dyDescent="0.25">
      <c r="A515" s="1">
        <v>45021</v>
      </c>
      <c r="B515" t="s">
        <v>6</v>
      </c>
      <c r="C515" t="s">
        <v>7</v>
      </c>
      <c r="D515" t="s">
        <v>9</v>
      </c>
      <c r="E515">
        <v>1383.8</v>
      </c>
      <c r="F515">
        <v>6</v>
      </c>
      <c r="G515" s="4" t="str">
        <f>_xlfn.XLOOKUP($B515,supplier_data!A:A,supplier_data!B:B)</f>
        <v>Canon</v>
      </c>
    </row>
    <row r="516" spans="1:7" x14ac:dyDescent="0.25">
      <c r="A516" s="1">
        <v>45148</v>
      </c>
      <c r="B516" t="s">
        <v>12</v>
      </c>
      <c r="C516" t="s">
        <v>7</v>
      </c>
      <c r="D516" t="s">
        <v>11</v>
      </c>
      <c r="E516">
        <v>193.93</v>
      </c>
      <c r="F516">
        <v>11</v>
      </c>
      <c r="G516" s="4" t="str">
        <f>_xlfn.XLOOKUP($B516,supplier_data!A:A,supplier_data!B:B)</f>
        <v>Dell</v>
      </c>
    </row>
    <row r="517" spans="1:7" x14ac:dyDescent="0.25">
      <c r="A517" s="1">
        <v>44975</v>
      </c>
      <c r="B517" t="s">
        <v>22</v>
      </c>
      <c r="C517" t="s">
        <v>7</v>
      </c>
      <c r="D517" t="s">
        <v>8</v>
      </c>
      <c r="E517">
        <v>134.34</v>
      </c>
      <c r="F517">
        <v>34</v>
      </c>
      <c r="G517" s="4" t="str">
        <f>_xlfn.XLOOKUP($B517,supplier_data!A:A,supplier_data!B:B)</f>
        <v>Apple</v>
      </c>
    </row>
    <row r="518" spans="1:7" x14ac:dyDescent="0.25">
      <c r="A518" s="1">
        <v>45013</v>
      </c>
      <c r="B518" t="s">
        <v>14</v>
      </c>
      <c r="C518" t="s">
        <v>7</v>
      </c>
      <c r="D518" t="s">
        <v>9</v>
      </c>
      <c r="E518">
        <v>1193.43</v>
      </c>
      <c r="F518">
        <v>16</v>
      </c>
      <c r="G518" s="4" t="str">
        <f>_xlfn.XLOOKUP($B518,supplier_data!A:A,supplier_data!B:B)</f>
        <v>LG</v>
      </c>
    </row>
    <row r="519" spans="1:7" x14ac:dyDescent="0.25">
      <c r="A519" s="1">
        <v>45017</v>
      </c>
      <c r="B519" t="s">
        <v>22</v>
      </c>
      <c r="C519" t="s">
        <v>7</v>
      </c>
      <c r="D519" t="s">
        <v>11</v>
      </c>
      <c r="E519">
        <v>1903.01</v>
      </c>
      <c r="F519">
        <v>43</v>
      </c>
      <c r="G519" s="4" t="str">
        <f>_xlfn.XLOOKUP($B519,supplier_data!A:A,supplier_data!B:B)</f>
        <v>Apple</v>
      </c>
    </row>
    <row r="520" spans="1:7" x14ac:dyDescent="0.25">
      <c r="A520" s="1">
        <v>45264</v>
      </c>
      <c r="B520" t="s">
        <v>22</v>
      </c>
      <c r="C520" t="s">
        <v>7</v>
      </c>
      <c r="D520" t="s">
        <v>8</v>
      </c>
      <c r="E520">
        <v>1447.84</v>
      </c>
      <c r="F520">
        <v>28</v>
      </c>
      <c r="G520" s="4" t="str">
        <f>_xlfn.XLOOKUP($B520,supplier_data!A:A,supplier_data!B:B)</f>
        <v>Apple</v>
      </c>
    </row>
    <row r="521" spans="1:7" x14ac:dyDescent="0.25">
      <c r="A521" s="1">
        <v>44985</v>
      </c>
      <c r="B521" t="s">
        <v>15</v>
      </c>
      <c r="C521" t="s">
        <v>16</v>
      </c>
      <c r="D521" t="s">
        <v>8</v>
      </c>
      <c r="E521">
        <v>537.45000000000005</v>
      </c>
      <c r="F521">
        <v>43</v>
      </c>
      <c r="G521" s="4" t="str">
        <f>_xlfn.XLOOKUP($B521,supplier_data!A:A,supplier_data!B:B)</f>
        <v>Nike</v>
      </c>
    </row>
    <row r="522" spans="1:7" x14ac:dyDescent="0.25">
      <c r="A522" s="1">
        <v>45023</v>
      </c>
      <c r="B522" t="s">
        <v>20</v>
      </c>
      <c r="C522" t="s">
        <v>7</v>
      </c>
      <c r="D522" t="s">
        <v>9</v>
      </c>
      <c r="E522">
        <v>856.14</v>
      </c>
      <c r="F522">
        <v>36</v>
      </c>
      <c r="G522" s="4" t="str">
        <f>_xlfn.XLOOKUP($B522,supplier_data!A:A,supplier_data!B:B)</f>
        <v>Logitech</v>
      </c>
    </row>
    <row r="523" spans="1:7" x14ac:dyDescent="0.25">
      <c r="A523" s="1">
        <v>45109</v>
      </c>
      <c r="B523" t="s">
        <v>20</v>
      </c>
      <c r="C523" t="s">
        <v>7</v>
      </c>
      <c r="D523" t="s">
        <v>9</v>
      </c>
      <c r="E523">
        <v>1975.93</v>
      </c>
      <c r="F523">
        <v>39</v>
      </c>
      <c r="G523" s="4" t="str">
        <f>_xlfn.XLOOKUP($B523,supplier_data!A:A,supplier_data!B:B)</f>
        <v>Logitech</v>
      </c>
    </row>
    <row r="524" spans="1:7" x14ac:dyDescent="0.25">
      <c r="A524" s="1">
        <v>45188</v>
      </c>
      <c r="B524" t="s">
        <v>15</v>
      </c>
      <c r="C524" t="s">
        <v>16</v>
      </c>
      <c r="D524" t="s">
        <v>9</v>
      </c>
      <c r="E524">
        <v>1791.92</v>
      </c>
      <c r="F524">
        <v>11</v>
      </c>
      <c r="G524" s="4" t="str">
        <f>_xlfn.XLOOKUP($B524,supplier_data!A:A,supplier_data!B:B)</f>
        <v>Nike</v>
      </c>
    </row>
    <row r="525" spans="1:7" x14ac:dyDescent="0.25">
      <c r="A525" s="1">
        <v>44975</v>
      </c>
      <c r="B525" t="s">
        <v>21</v>
      </c>
      <c r="C525" t="s">
        <v>7</v>
      </c>
      <c r="D525" t="s">
        <v>13</v>
      </c>
      <c r="E525">
        <v>1572.4</v>
      </c>
      <c r="F525">
        <v>31</v>
      </c>
      <c r="G525" s="4" t="str">
        <f>_xlfn.XLOOKUP($B525,supplier_data!A:A,supplier_data!B:B)</f>
        <v>Sony</v>
      </c>
    </row>
    <row r="526" spans="1:7" x14ac:dyDescent="0.25">
      <c r="A526" s="1">
        <v>45126</v>
      </c>
      <c r="B526" t="s">
        <v>14</v>
      </c>
      <c r="C526" t="s">
        <v>7</v>
      </c>
      <c r="D526" t="s">
        <v>11</v>
      </c>
      <c r="E526">
        <v>1343.64</v>
      </c>
      <c r="F526">
        <v>45</v>
      </c>
      <c r="G526" s="4" t="str">
        <f>_xlfn.XLOOKUP($B526,supplier_data!A:A,supplier_data!B:B)</f>
        <v>LG</v>
      </c>
    </row>
    <row r="527" spans="1:7" x14ac:dyDescent="0.25">
      <c r="A527" s="1">
        <v>45256</v>
      </c>
      <c r="B527" t="s">
        <v>10</v>
      </c>
      <c r="C527" t="s">
        <v>7</v>
      </c>
      <c r="D527" t="s">
        <v>13</v>
      </c>
      <c r="E527">
        <v>1433.08</v>
      </c>
      <c r="F527">
        <v>49</v>
      </c>
      <c r="G527" s="4" t="str">
        <f>_xlfn.XLOOKUP($B527,supplier_data!A:A,supplier_data!B:B)</f>
        <v>Samsung</v>
      </c>
    </row>
    <row r="528" spans="1:7" x14ac:dyDescent="0.25">
      <c r="A528" s="1">
        <v>44967</v>
      </c>
      <c r="B528" t="s">
        <v>21</v>
      </c>
      <c r="C528" t="s">
        <v>7</v>
      </c>
      <c r="D528" t="s">
        <v>8</v>
      </c>
      <c r="E528">
        <v>1654.04</v>
      </c>
      <c r="F528">
        <v>41</v>
      </c>
      <c r="G528" s="4" t="str">
        <f>_xlfn.XLOOKUP($B528,supplier_data!A:A,supplier_data!B:B)</f>
        <v>Sony</v>
      </c>
    </row>
    <row r="529" spans="1:7" x14ac:dyDescent="0.25">
      <c r="A529" s="1">
        <v>45197</v>
      </c>
      <c r="B529" t="s">
        <v>20</v>
      </c>
      <c r="C529" t="s">
        <v>7</v>
      </c>
      <c r="D529" t="s">
        <v>13</v>
      </c>
      <c r="E529">
        <v>1542.12</v>
      </c>
      <c r="F529">
        <v>15</v>
      </c>
      <c r="G529" s="4" t="str">
        <f>_xlfn.XLOOKUP($B529,supplier_data!A:A,supplier_data!B:B)</f>
        <v>Logitech</v>
      </c>
    </row>
    <row r="530" spans="1:7" x14ac:dyDescent="0.25">
      <c r="A530" s="1">
        <v>45057</v>
      </c>
      <c r="B530" t="s">
        <v>17</v>
      </c>
      <c r="C530" t="s">
        <v>18</v>
      </c>
      <c r="D530" t="s">
        <v>9</v>
      </c>
      <c r="E530">
        <v>1134.55</v>
      </c>
      <c r="F530">
        <v>20</v>
      </c>
      <c r="G530" s="4" t="str">
        <f>_xlfn.XLOOKUP($B530,supplier_data!A:A,supplier_data!B:B)</f>
        <v>Fossil</v>
      </c>
    </row>
    <row r="531" spans="1:7" x14ac:dyDescent="0.25">
      <c r="A531" s="1">
        <v>45205</v>
      </c>
      <c r="B531" t="s">
        <v>20</v>
      </c>
      <c r="C531" t="s">
        <v>7</v>
      </c>
      <c r="D531" t="s">
        <v>13</v>
      </c>
      <c r="E531">
        <v>277.8</v>
      </c>
      <c r="F531">
        <v>19</v>
      </c>
      <c r="G531" s="4" t="str">
        <f>_xlfn.XLOOKUP($B531,supplier_data!A:A,supplier_data!B:B)</f>
        <v>Logitech</v>
      </c>
    </row>
    <row r="532" spans="1:7" x14ac:dyDescent="0.25">
      <c r="A532" s="1">
        <v>45142</v>
      </c>
      <c r="B532" t="s">
        <v>19</v>
      </c>
      <c r="C532" t="s">
        <v>7</v>
      </c>
      <c r="D532" t="s">
        <v>9</v>
      </c>
      <c r="E532">
        <v>143.29</v>
      </c>
      <c r="F532">
        <v>22</v>
      </c>
      <c r="G532" s="4" t="str">
        <f>_xlfn.XLOOKUP($B532,supplier_data!A:A,supplier_data!B:B)</f>
        <v>HP</v>
      </c>
    </row>
    <row r="533" spans="1:7" x14ac:dyDescent="0.25">
      <c r="A533" s="1">
        <v>45024</v>
      </c>
      <c r="B533" t="s">
        <v>22</v>
      </c>
      <c r="C533" t="s">
        <v>7</v>
      </c>
      <c r="D533" t="s">
        <v>13</v>
      </c>
      <c r="E533">
        <v>1437.18</v>
      </c>
      <c r="F533">
        <v>42</v>
      </c>
      <c r="G533" s="4" t="str">
        <f>_xlfn.XLOOKUP($B533,supplier_data!A:A,supplier_data!B:B)</f>
        <v>Apple</v>
      </c>
    </row>
    <row r="534" spans="1:7" x14ac:dyDescent="0.25">
      <c r="A534" s="1">
        <v>44989</v>
      </c>
      <c r="B534" t="s">
        <v>22</v>
      </c>
      <c r="C534" t="s">
        <v>7</v>
      </c>
      <c r="D534" t="s">
        <v>11</v>
      </c>
      <c r="E534">
        <v>183.8</v>
      </c>
      <c r="F534">
        <v>26</v>
      </c>
      <c r="G534" s="4" t="str">
        <f>_xlfn.XLOOKUP($B534,supplier_data!A:A,supplier_data!B:B)</f>
        <v>Apple</v>
      </c>
    </row>
    <row r="535" spans="1:7" x14ac:dyDescent="0.25">
      <c r="A535" s="1">
        <v>45074</v>
      </c>
      <c r="B535" t="s">
        <v>6</v>
      </c>
      <c r="C535" t="s">
        <v>7</v>
      </c>
      <c r="D535" t="s">
        <v>9</v>
      </c>
      <c r="E535">
        <v>1888.52</v>
      </c>
      <c r="F535">
        <v>7</v>
      </c>
      <c r="G535" s="4" t="str">
        <f>_xlfn.XLOOKUP($B535,supplier_data!A:A,supplier_data!B:B)</f>
        <v>Canon</v>
      </c>
    </row>
    <row r="536" spans="1:7" x14ac:dyDescent="0.25">
      <c r="A536" s="1">
        <v>45228</v>
      </c>
      <c r="B536" t="s">
        <v>10</v>
      </c>
      <c r="C536" t="s">
        <v>7</v>
      </c>
      <c r="D536" t="s">
        <v>11</v>
      </c>
      <c r="E536">
        <v>1930.34</v>
      </c>
      <c r="F536">
        <v>19</v>
      </c>
      <c r="G536" s="4" t="str">
        <f>_xlfn.XLOOKUP($B536,supplier_data!A:A,supplier_data!B:B)</f>
        <v>Samsung</v>
      </c>
    </row>
    <row r="537" spans="1:7" x14ac:dyDescent="0.25">
      <c r="A537" s="1">
        <v>45138</v>
      </c>
      <c r="B537" t="s">
        <v>19</v>
      </c>
      <c r="C537" t="s">
        <v>7</v>
      </c>
      <c r="D537" t="s">
        <v>9</v>
      </c>
      <c r="E537">
        <v>1731.52</v>
      </c>
      <c r="F537">
        <v>23</v>
      </c>
      <c r="G537" s="4" t="str">
        <f>_xlfn.XLOOKUP($B537,supplier_data!A:A,supplier_data!B:B)</f>
        <v>HP</v>
      </c>
    </row>
    <row r="538" spans="1:7" x14ac:dyDescent="0.25">
      <c r="A538" s="1">
        <v>45059</v>
      </c>
      <c r="B538" t="s">
        <v>10</v>
      </c>
      <c r="C538" t="s">
        <v>7</v>
      </c>
      <c r="D538" t="s">
        <v>9</v>
      </c>
      <c r="E538">
        <v>251.17</v>
      </c>
      <c r="F538">
        <v>35</v>
      </c>
      <c r="G538" s="4" t="str">
        <f>_xlfn.XLOOKUP($B538,supplier_data!A:A,supplier_data!B:B)</f>
        <v>Samsung</v>
      </c>
    </row>
    <row r="539" spans="1:7" x14ac:dyDescent="0.25">
      <c r="A539" s="1">
        <v>45284</v>
      </c>
      <c r="B539" t="s">
        <v>17</v>
      </c>
      <c r="C539" t="s">
        <v>18</v>
      </c>
      <c r="D539" t="s">
        <v>11</v>
      </c>
      <c r="E539">
        <v>1354.36</v>
      </c>
      <c r="F539">
        <v>21</v>
      </c>
      <c r="G539" s="4" t="str">
        <f>_xlfn.XLOOKUP($B539,supplier_data!A:A,supplier_data!B:B)</f>
        <v>Fossil</v>
      </c>
    </row>
    <row r="540" spans="1:7" x14ac:dyDescent="0.25">
      <c r="A540" s="1">
        <v>45172</v>
      </c>
      <c r="B540" t="s">
        <v>17</v>
      </c>
      <c r="C540" t="s">
        <v>18</v>
      </c>
      <c r="D540" t="s">
        <v>13</v>
      </c>
      <c r="E540">
        <v>731.69</v>
      </c>
      <c r="F540">
        <v>15</v>
      </c>
      <c r="G540" s="4" t="str">
        <f>_xlfn.XLOOKUP($B540,supplier_data!A:A,supplier_data!B:B)</f>
        <v>Fossil</v>
      </c>
    </row>
    <row r="541" spans="1:7" x14ac:dyDescent="0.25">
      <c r="A541" s="1">
        <v>45134</v>
      </c>
      <c r="B541" t="s">
        <v>6</v>
      </c>
      <c r="C541" t="s">
        <v>7</v>
      </c>
      <c r="D541" t="s">
        <v>9</v>
      </c>
      <c r="E541">
        <v>1341.65</v>
      </c>
      <c r="F541">
        <v>36</v>
      </c>
      <c r="G541" s="4" t="str">
        <f>_xlfn.XLOOKUP($B541,supplier_data!A:A,supplier_data!B:B)</f>
        <v>Canon</v>
      </c>
    </row>
    <row r="542" spans="1:7" x14ac:dyDescent="0.25">
      <c r="A542" s="1">
        <v>45252</v>
      </c>
      <c r="B542" t="s">
        <v>17</v>
      </c>
      <c r="C542" t="s">
        <v>18</v>
      </c>
      <c r="D542" t="s">
        <v>13</v>
      </c>
      <c r="E542">
        <v>312.32</v>
      </c>
      <c r="F542">
        <v>25</v>
      </c>
      <c r="G542" s="4" t="str">
        <f>_xlfn.XLOOKUP($B542,supplier_data!A:A,supplier_data!B:B)</f>
        <v>Fossil</v>
      </c>
    </row>
    <row r="543" spans="1:7" x14ac:dyDescent="0.25">
      <c r="A543" s="1">
        <v>45070</v>
      </c>
      <c r="B543" t="s">
        <v>22</v>
      </c>
      <c r="C543" t="s">
        <v>7</v>
      </c>
      <c r="D543" t="s">
        <v>13</v>
      </c>
      <c r="E543">
        <v>1866.41</v>
      </c>
      <c r="F543">
        <v>21</v>
      </c>
      <c r="G543" s="4" t="str">
        <f>_xlfn.XLOOKUP($B543,supplier_data!A:A,supplier_data!B:B)</f>
        <v>Apple</v>
      </c>
    </row>
    <row r="544" spans="1:7" x14ac:dyDescent="0.25">
      <c r="A544" s="1">
        <v>45167</v>
      </c>
      <c r="B544" t="s">
        <v>14</v>
      </c>
      <c r="C544" t="s">
        <v>7</v>
      </c>
      <c r="D544" t="s">
        <v>11</v>
      </c>
      <c r="E544">
        <v>618.6</v>
      </c>
      <c r="F544">
        <v>31</v>
      </c>
      <c r="G544" s="4" t="str">
        <f>_xlfn.XLOOKUP($B544,supplier_data!A:A,supplier_data!B:B)</f>
        <v>LG</v>
      </c>
    </row>
    <row r="545" spans="1:7" x14ac:dyDescent="0.25">
      <c r="A545" s="1">
        <v>44983</v>
      </c>
      <c r="B545" t="s">
        <v>15</v>
      </c>
      <c r="C545" t="s">
        <v>16</v>
      </c>
      <c r="D545" t="s">
        <v>9</v>
      </c>
      <c r="E545">
        <v>1241.48</v>
      </c>
      <c r="F545">
        <v>47</v>
      </c>
      <c r="G545" s="4" t="str">
        <f>_xlfn.XLOOKUP($B545,supplier_data!A:A,supplier_data!B:B)</f>
        <v>Nike</v>
      </c>
    </row>
    <row r="546" spans="1:7" x14ac:dyDescent="0.25">
      <c r="A546" s="1">
        <v>45004</v>
      </c>
      <c r="B546" t="s">
        <v>6</v>
      </c>
      <c r="C546" t="s">
        <v>7</v>
      </c>
      <c r="D546" t="s">
        <v>9</v>
      </c>
      <c r="E546">
        <v>837.87</v>
      </c>
      <c r="F546">
        <v>47</v>
      </c>
      <c r="G546" s="4" t="str">
        <f>_xlfn.XLOOKUP($B546,supplier_data!A:A,supplier_data!B:B)</f>
        <v>Canon</v>
      </c>
    </row>
    <row r="547" spans="1:7" x14ac:dyDescent="0.25">
      <c r="A547" s="1">
        <v>45207</v>
      </c>
      <c r="B547" t="s">
        <v>17</v>
      </c>
      <c r="C547" t="s">
        <v>18</v>
      </c>
      <c r="D547" t="s">
        <v>9</v>
      </c>
      <c r="E547">
        <v>911.76</v>
      </c>
      <c r="F547">
        <v>44</v>
      </c>
      <c r="G547" s="4" t="str">
        <f>_xlfn.XLOOKUP($B547,supplier_data!A:A,supplier_data!B:B)</f>
        <v>Fossil</v>
      </c>
    </row>
    <row r="548" spans="1:7" x14ac:dyDescent="0.25">
      <c r="A548" s="1">
        <v>45141</v>
      </c>
      <c r="B548" t="s">
        <v>15</v>
      </c>
      <c r="C548" t="s">
        <v>16</v>
      </c>
      <c r="D548" t="s">
        <v>9</v>
      </c>
      <c r="E548">
        <v>1953.14</v>
      </c>
      <c r="F548">
        <v>14</v>
      </c>
      <c r="G548" s="4" t="str">
        <f>_xlfn.XLOOKUP($B548,supplier_data!A:A,supplier_data!B:B)</f>
        <v>Nike</v>
      </c>
    </row>
    <row r="549" spans="1:7" x14ac:dyDescent="0.25">
      <c r="A549" s="1">
        <v>45058</v>
      </c>
      <c r="B549" t="s">
        <v>20</v>
      </c>
      <c r="C549" t="s">
        <v>7</v>
      </c>
      <c r="D549" t="s">
        <v>8</v>
      </c>
      <c r="E549">
        <v>546.01</v>
      </c>
      <c r="F549">
        <v>26</v>
      </c>
      <c r="G549" s="4" t="str">
        <f>_xlfn.XLOOKUP($B549,supplier_data!A:A,supplier_data!B:B)</f>
        <v>Logitech</v>
      </c>
    </row>
    <row r="550" spans="1:7" x14ac:dyDescent="0.25">
      <c r="A550" s="1">
        <v>45278</v>
      </c>
      <c r="B550" t="s">
        <v>22</v>
      </c>
      <c r="C550" t="s">
        <v>7</v>
      </c>
      <c r="D550" t="s">
        <v>8</v>
      </c>
      <c r="E550">
        <v>1869.81</v>
      </c>
      <c r="F550">
        <v>42</v>
      </c>
      <c r="G550" s="4" t="str">
        <f>_xlfn.XLOOKUP($B550,supplier_data!A:A,supplier_data!B:B)</f>
        <v>Apple</v>
      </c>
    </row>
    <row r="551" spans="1:7" x14ac:dyDescent="0.25">
      <c r="A551" s="1">
        <v>45205</v>
      </c>
      <c r="B551" t="s">
        <v>22</v>
      </c>
      <c r="C551" t="s">
        <v>7</v>
      </c>
      <c r="D551" t="s">
        <v>13</v>
      </c>
      <c r="E551">
        <v>1658.36</v>
      </c>
      <c r="F551">
        <v>13</v>
      </c>
      <c r="G551" s="4" t="str">
        <f>_xlfn.XLOOKUP($B551,supplier_data!A:A,supplier_data!B:B)</f>
        <v>Apple</v>
      </c>
    </row>
    <row r="552" spans="1:7" x14ac:dyDescent="0.25">
      <c r="A552" s="1">
        <v>45051</v>
      </c>
      <c r="B552" t="s">
        <v>17</v>
      </c>
      <c r="C552" t="s">
        <v>18</v>
      </c>
      <c r="D552" t="s">
        <v>8</v>
      </c>
      <c r="E552">
        <v>654.85</v>
      </c>
      <c r="F552">
        <v>48</v>
      </c>
      <c r="G552" s="4" t="str">
        <f>_xlfn.XLOOKUP($B552,supplier_data!A:A,supplier_data!B:B)</f>
        <v>Fossil</v>
      </c>
    </row>
    <row r="553" spans="1:7" x14ac:dyDescent="0.25">
      <c r="A553" s="1">
        <v>45150</v>
      </c>
      <c r="B553" t="s">
        <v>19</v>
      </c>
      <c r="C553" t="s">
        <v>7</v>
      </c>
      <c r="D553" t="s">
        <v>9</v>
      </c>
      <c r="E553">
        <v>1469.25</v>
      </c>
      <c r="F553">
        <v>6</v>
      </c>
      <c r="G553" s="4" t="str">
        <f>_xlfn.XLOOKUP($B553,supplier_data!A:A,supplier_data!B:B)</f>
        <v>HP</v>
      </c>
    </row>
    <row r="554" spans="1:7" x14ac:dyDescent="0.25">
      <c r="A554" s="1">
        <v>45047</v>
      </c>
      <c r="B554" t="s">
        <v>20</v>
      </c>
      <c r="C554" t="s">
        <v>7</v>
      </c>
      <c r="D554" t="s">
        <v>9</v>
      </c>
      <c r="E554">
        <v>1136.95</v>
      </c>
      <c r="F554">
        <v>43</v>
      </c>
      <c r="G554" s="4" t="str">
        <f>_xlfn.XLOOKUP($B554,supplier_data!A:A,supplier_data!B:B)</f>
        <v>Logitech</v>
      </c>
    </row>
    <row r="555" spans="1:7" x14ac:dyDescent="0.25">
      <c r="A555" s="1">
        <v>45247</v>
      </c>
      <c r="B555" t="s">
        <v>10</v>
      </c>
      <c r="C555" t="s">
        <v>7</v>
      </c>
      <c r="D555" t="s">
        <v>9</v>
      </c>
      <c r="E555">
        <v>966.46</v>
      </c>
      <c r="F555">
        <v>47</v>
      </c>
      <c r="G555" s="4" t="str">
        <f>_xlfn.XLOOKUP($B555,supplier_data!A:A,supplier_data!B:B)</f>
        <v>Samsung</v>
      </c>
    </row>
    <row r="556" spans="1:7" x14ac:dyDescent="0.25">
      <c r="A556" s="1">
        <v>45115</v>
      </c>
      <c r="B556" t="s">
        <v>14</v>
      </c>
      <c r="C556" t="s">
        <v>7</v>
      </c>
      <c r="D556" t="s">
        <v>8</v>
      </c>
      <c r="E556">
        <v>1842.7</v>
      </c>
      <c r="F556">
        <v>9</v>
      </c>
      <c r="G556" s="4" t="str">
        <f>_xlfn.XLOOKUP($B556,supplier_data!A:A,supplier_data!B:B)</f>
        <v>LG</v>
      </c>
    </row>
    <row r="557" spans="1:7" x14ac:dyDescent="0.25">
      <c r="A557" s="1">
        <v>45007</v>
      </c>
      <c r="B557" t="s">
        <v>21</v>
      </c>
      <c r="C557" t="s">
        <v>7</v>
      </c>
      <c r="D557" t="s">
        <v>9</v>
      </c>
      <c r="E557">
        <v>1854.47</v>
      </c>
      <c r="F557">
        <v>42</v>
      </c>
      <c r="G557" s="4" t="str">
        <f>_xlfn.XLOOKUP($B557,supplier_data!A:A,supplier_data!B:B)</f>
        <v>Sony</v>
      </c>
    </row>
    <row r="558" spans="1:7" x14ac:dyDescent="0.25">
      <c r="A558" s="1">
        <v>45026</v>
      </c>
      <c r="B558" t="s">
        <v>19</v>
      </c>
      <c r="C558" t="s">
        <v>7</v>
      </c>
      <c r="D558" t="s">
        <v>11</v>
      </c>
      <c r="E558">
        <v>1024.99</v>
      </c>
      <c r="F558">
        <v>22</v>
      </c>
      <c r="G558" s="4" t="str">
        <f>_xlfn.XLOOKUP($B558,supplier_data!A:A,supplier_data!B:B)</f>
        <v>HP</v>
      </c>
    </row>
    <row r="559" spans="1:7" x14ac:dyDescent="0.25">
      <c r="A559" s="1">
        <v>45196</v>
      </c>
      <c r="B559" t="s">
        <v>6</v>
      </c>
      <c r="C559" t="s">
        <v>7</v>
      </c>
      <c r="D559" t="s">
        <v>8</v>
      </c>
      <c r="E559">
        <v>1499.33</v>
      </c>
      <c r="F559">
        <v>10</v>
      </c>
      <c r="G559" s="4" t="str">
        <f>_xlfn.XLOOKUP($B559,supplier_data!A:A,supplier_data!B:B)</f>
        <v>Canon</v>
      </c>
    </row>
    <row r="560" spans="1:7" x14ac:dyDescent="0.25">
      <c r="A560" s="1">
        <v>45056</v>
      </c>
      <c r="B560" t="s">
        <v>6</v>
      </c>
      <c r="C560" t="s">
        <v>7</v>
      </c>
      <c r="D560" t="s">
        <v>9</v>
      </c>
      <c r="E560">
        <v>1202.45</v>
      </c>
      <c r="F560">
        <v>24</v>
      </c>
      <c r="G560" s="4" t="str">
        <f>_xlfn.XLOOKUP($B560,supplier_data!A:A,supplier_data!B:B)</f>
        <v>Canon</v>
      </c>
    </row>
    <row r="561" spans="1:7" x14ac:dyDescent="0.25">
      <c r="A561" s="1">
        <v>44944</v>
      </c>
      <c r="B561" t="s">
        <v>6</v>
      </c>
      <c r="C561" t="s">
        <v>7</v>
      </c>
      <c r="D561" t="s">
        <v>9</v>
      </c>
      <c r="E561">
        <v>1008.22</v>
      </c>
      <c r="F561">
        <v>11</v>
      </c>
      <c r="G561" s="4" t="str">
        <f>_xlfn.XLOOKUP($B561,supplier_data!A:A,supplier_data!B:B)</f>
        <v>Canon</v>
      </c>
    </row>
    <row r="562" spans="1:7" x14ac:dyDescent="0.25">
      <c r="A562" s="1">
        <v>45219</v>
      </c>
      <c r="B562" t="s">
        <v>14</v>
      </c>
      <c r="C562" t="s">
        <v>7</v>
      </c>
      <c r="D562" t="s">
        <v>13</v>
      </c>
      <c r="E562">
        <v>1238.2</v>
      </c>
      <c r="F562">
        <v>22</v>
      </c>
      <c r="G562" s="4" t="str">
        <f>_xlfn.XLOOKUP($B562,supplier_data!A:A,supplier_data!B:B)</f>
        <v>LG</v>
      </c>
    </row>
    <row r="563" spans="1:7" x14ac:dyDescent="0.25">
      <c r="A563" s="1">
        <v>44927</v>
      </c>
      <c r="B563" t="s">
        <v>21</v>
      </c>
      <c r="C563" t="s">
        <v>7</v>
      </c>
      <c r="D563" t="s">
        <v>9</v>
      </c>
      <c r="E563">
        <v>511.8</v>
      </c>
      <c r="F563">
        <v>20</v>
      </c>
      <c r="G563" s="4" t="str">
        <f>_xlfn.XLOOKUP($B563,supplier_data!A:A,supplier_data!B:B)</f>
        <v>Sony</v>
      </c>
    </row>
    <row r="564" spans="1:7" x14ac:dyDescent="0.25">
      <c r="A564" s="1">
        <v>45073</v>
      </c>
      <c r="B564" t="s">
        <v>12</v>
      </c>
      <c r="C564" t="s">
        <v>7</v>
      </c>
      <c r="D564" t="s">
        <v>8</v>
      </c>
      <c r="E564">
        <v>144.1</v>
      </c>
      <c r="F564">
        <v>14</v>
      </c>
      <c r="G564" s="4" t="str">
        <f>_xlfn.XLOOKUP($B564,supplier_data!A:A,supplier_data!B:B)</f>
        <v>Dell</v>
      </c>
    </row>
    <row r="565" spans="1:7" x14ac:dyDescent="0.25">
      <c r="A565" s="1">
        <v>45201</v>
      </c>
      <c r="B565" t="s">
        <v>19</v>
      </c>
      <c r="C565" t="s">
        <v>7</v>
      </c>
      <c r="D565" t="s">
        <v>11</v>
      </c>
      <c r="E565">
        <v>567.71</v>
      </c>
      <c r="F565">
        <v>46</v>
      </c>
      <c r="G565" s="4" t="str">
        <f>_xlfn.XLOOKUP($B565,supplier_data!A:A,supplier_data!B:B)</f>
        <v>HP</v>
      </c>
    </row>
    <row r="566" spans="1:7" x14ac:dyDescent="0.25">
      <c r="A566" s="1">
        <v>45130</v>
      </c>
      <c r="B566" t="s">
        <v>12</v>
      </c>
      <c r="C566" t="s">
        <v>7</v>
      </c>
      <c r="D566" t="s">
        <v>9</v>
      </c>
      <c r="E566">
        <v>852.73</v>
      </c>
      <c r="F566">
        <v>47</v>
      </c>
      <c r="G566" s="4" t="str">
        <f>_xlfn.XLOOKUP($B566,supplier_data!A:A,supplier_data!B:B)</f>
        <v>Dell</v>
      </c>
    </row>
    <row r="567" spans="1:7" x14ac:dyDescent="0.25">
      <c r="A567" s="1">
        <v>45098</v>
      </c>
      <c r="B567" t="s">
        <v>21</v>
      </c>
      <c r="C567" t="s">
        <v>7</v>
      </c>
      <c r="D567" t="s">
        <v>11</v>
      </c>
      <c r="E567">
        <v>1861.3</v>
      </c>
      <c r="F567">
        <v>18</v>
      </c>
      <c r="G567" s="4" t="str">
        <f>_xlfn.XLOOKUP($B567,supplier_data!A:A,supplier_data!B:B)</f>
        <v>Sony</v>
      </c>
    </row>
    <row r="568" spans="1:7" x14ac:dyDescent="0.25">
      <c r="A568" s="1">
        <v>45213</v>
      </c>
      <c r="B568" t="s">
        <v>12</v>
      </c>
      <c r="C568" t="s">
        <v>7</v>
      </c>
      <c r="D568" t="s">
        <v>8</v>
      </c>
      <c r="E568">
        <v>898.71</v>
      </c>
      <c r="F568">
        <v>38</v>
      </c>
      <c r="G568" s="4" t="str">
        <f>_xlfn.XLOOKUP($B568,supplier_data!A:A,supplier_data!B:B)</f>
        <v>Dell</v>
      </c>
    </row>
    <row r="569" spans="1:7" x14ac:dyDescent="0.25">
      <c r="A569" s="1">
        <v>45250</v>
      </c>
      <c r="B569" t="s">
        <v>12</v>
      </c>
      <c r="C569" t="s">
        <v>7</v>
      </c>
      <c r="D569" t="s">
        <v>11</v>
      </c>
      <c r="E569">
        <v>108.85</v>
      </c>
      <c r="F569">
        <v>13</v>
      </c>
      <c r="G569" s="4" t="str">
        <f>_xlfn.XLOOKUP($B569,supplier_data!A:A,supplier_data!B:B)</f>
        <v>Dell</v>
      </c>
    </row>
    <row r="570" spans="1:7" x14ac:dyDescent="0.25">
      <c r="A570" s="1">
        <v>45211</v>
      </c>
      <c r="B570" t="s">
        <v>21</v>
      </c>
      <c r="C570" t="s">
        <v>7</v>
      </c>
      <c r="D570" t="s">
        <v>8</v>
      </c>
      <c r="E570">
        <v>473.05</v>
      </c>
      <c r="F570">
        <v>44</v>
      </c>
      <c r="G570" s="4" t="str">
        <f>_xlfn.XLOOKUP($B570,supplier_data!A:A,supplier_data!B:B)</f>
        <v>Sony</v>
      </c>
    </row>
    <row r="571" spans="1:7" x14ac:dyDescent="0.25">
      <c r="A571" s="1">
        <v>45225</v>
      </c>
      <c r="B571" t="s">
        <v>22</v>
      </c>
      <c r="C571" t="s">
        <v>7</v>
      </c>
      <c r="D571" t="s">
        <v>13</v>
      </c>
      <c r="E571">
        <v>1623.33</v>
      </c>
      <c r="F571">
        <v>49</v>
      </c>
      <c r="G571" s="4" t="str">
        <f>_xlfn.XLOOKUP($B571,supplier_data!A:A,supplier_data!B:B)</f>
        <v>Apple</v>
      </c>
    </row>
    <row r="572" spans="1:7" x14ac:dyDescent="0.25">
      <c r="A572" s="1">
        <v>45193</v>
      </c>
      <c r="B572" t="s">
        <v>21</v>
      </c>
      <c r="C572" t="s">
        <v>7</v>
      </c>
      <c r="D572" t="s">
        <v>11</v>
      </c>
      <c r="E572">
        <v>1503.59</v>
      </c>
      <c r="F572">
        <v>11</v>
      </c>
      <c r="G572" s="4" t="str">
        <f>_xlfn.XLOOKUP($B572,supplier_data!A:A,supplier_data!B:B)</f>
        <v>Sony</v>
      </c>
    </row>
    <row r="573" spans="1:7" x14ac:dyDescent="0.25">
      <c r="A573" s="1">
        <v>45202</v>
      </c>
      <c r="B573" t="s">
        <v>17</v>
      </c>
      <c r="C573" t="s">
        <v>18</v>
      </c>
      <c r="D573" t="s">
        <v>8</v>
      </c>
      <c r="E573">
        <v>675.5</v>
      </c>
      <c r="F573">
        <v>29</v>
      </c>
      <c r="G573" s="4" t="str">
        <f>_xlfn.XLOOKUP($B573,supplier_data!A:A,supplier_data!B:B)</f>
        <v>Fossil</v>
      </c>
    </row>
    <row r="574" spans="1:7" x14ac:dyDescent="0.25">
      <c r="A574" s="1">
        <v>45129</v>
      </c>
      <c r="B574" t="s">
        <v>20</v>
      </c>
      <c r="C574" t="s">
        <v>7</v>
      </c>
      <c r="D574" t="s">
        <v>9</v>
      </c>
      <c r="E574">
        <v>1457.17</v>
      </c>
      <c r="F574">
        <v>17</v>
      </c>
      <c r="G574" s="4" t="str">
        <f>_xlfn.XLOOKUP($B574,supplier_data!A:A,supplier_data!B:B)</f>
        <v>Logitech</v>
      </c>
    </row>
    <row r="575" spans="1:7" x14ac:dyDescent="0.25">
      <c r="A575" s="1">
        <v>45105</v>
      </c>
      <c r="B575" t="s">
        <v>20</v>
      </c>
      <c r="C575" t="s">
        <v>7</v>
      </c>
      <c r="D575" t="s">
        <v>9</v>
      </c>
      <c r="E575">
        <v>1308.3800000000001</v>
      </c>
      <c r="F575">
        <v>30</v>
      </c>
      <c r="G575" s="4" t="str">
        <f>_xlfn.XLOOKUP($B575,supplier_data!A:A,supplier_data!B:B)</f>
        <v>Logitech</v>
      </c>
    </row>
    <row r="576" spans="1:7" x14ac:dyDescent="0.25">
      <c r="A576" s="1">
        <v>45099</v>
      </c>
      <c r="B576" t="s">
        <v>17</v>
      </c>
      <c r="C576" t="s">
        <v>18</v>
      </c>
      <c r="D576" t="s">
        <v>13</v>
      </c>
      <c r="E576">
        <v>1090.3399999999999</v>
      </c>
      <c r="F576">
        <v>7</v>
      </c>
      <c r="G576" s="4" t="str">
        <f>_xlfn.XLOOKUP($B576,supplier_data!A:A,supplier_data!B:B)</f>
        <v>Fossil</v>
      </c>
    </row>
    <row r="577" spans="1:7" x14ac:dyDescent="0.25">
      <c r="A577" s="1">
        <v>44958</v>
      </c>
      <c r="B577" t="s">
        <v>14</v>
      </c>
      <c r="C577" t="s">
        <v>7</v>
      </c>
      <c r="D577" t="s">
        <v>11</v>
      </c>
      <c r="E577">
        <v>1137.02</v>
      </c>
      <c r="F577">
        <v>40</v>
      </c>
      <c r="G577" s="4" t="str">
        <f>_xlfn.XLOOKUP($B577,supplier_data!A:A,supplier_data!B:B)</f>
        <v>LG</v>
      </c>
    </row>
    <row r="578" spans="1:7" x14ac:dyDescent="0.25">
      <c r="A578" s="1">
        <v>45231</v>
      </c>
      <c r="B578" t="s">
        <v>10</v>
      </c>
      <c r="C578" t="s">
        <v>7</v>
      </c>
      <c r="D578" t="s">
        <v>9</v>
      </c>
      <c r="E578">
        <v>768.01</v>
      </c>
      <c r="F578">
        <v>49</v>
      </c>
      <c r="G578" s="4" t="str">
        <f>_xlfn.XLOOKUP($B578,supplier_data!A:A,supplier_data!B:B)</f>
        <v>Samsung</v>
      </c>
    </row>
    <row r="579" spans="1:7" x14ac:dyDescent="0.25">
      <c r="A579" s="1">
        <v>44935</v>
      </c>
      <c r="B579" t="s">
        <v>17</v>
      </c>
      <c r="C579" t="s">
        <v>18</v>
      </c>
      <c r="D579" t="s">
        <v>8</v>
      </c>
      <c r="E579">
        <v>1335.09</v>
      </c>
      <c r="F579">
        <v>37</v>
      </c>
      <c r="G579" s="4" t="str">
        <f>_xlfn.XLOOKUP($B579,supplier_data!A:A,supplier_data!B:B)</f>
        <v>Fossil</v>
      </c>
    </row>
    <row r="580" spans="1:7" x14ac:dyDescent="0.25">
      <c r="A580" s="1">
        <v>44967</v>
      </c>
      <c r="B580" t="s">
        <v>10</v>
      </c>
      <c r="C580" t="s">
        <v>7</v>
      </c>
      <c r="D580" t="s">
        <v>11</v>
      </c>
      <c r="E580">
        <v>1049.99</v>
      </c>
      <c r="F580">
        <v>12</v>
      </c>
      <c r="G580" s="4" t="str">
        <f>_xlfn.XLOOKUP($B580,supplier_data!A:A,supplier_data!B:B)</f>
        <v>Samsung</v>
      </c>
    </row>
    <row r="581" spans="1:7" x14ac:dyDescent="0.25">
      <c r="A581" s="1">
        <v>44949</v>
      </c>
      <c r="B581" t="s">
        <v>6</v>
      </c>
      <c r="C581" t="s">
        <v>7</v>
      </c>
      <c r="D581" t="s">
        <v>11</v>
      </c>
      <c r="E581">
        <v>155.93</v>
      </c>
      <c r="F581">
        <v>23</v>
      </c>
      <c r="G581" s="4" t="str">
        <f>_xlfn.XLOOKUP($B581,supplier_data!A:A,supplier_data!B:B)</f>
        <v>Canon</v>
      </c>
    </row>
    <row r="582" spans="1:7" x14ac:dyDescent="0.25">
      <c r="A582" s="1">
        <v>45170</v>
      </c>
      <c r="B582" t="s">
        <v>22</v>
      </c>
      <c r="C582" t="s">
        <v>7</v>
      </c>
      <c r="D582" t="s">
        <v>8</v>
      </c>
      <c r="E582">
        <v>1725.81</v>
      </c>
      <c r="F582">
        <v>18</v>
      </c>
      <c r="G582" s="4" t="str">
        <f>_xlfn.XLOOKUP($B582,supplier_data!A:A,supplier_data!B:B)</f>
        <v>Apple</v>
      </c>
    </row>
    <row r="583" spans="1:7" x14ac:dyDescent="0.25">
      <c r="A583" s="1">
        <v>45274</v>
      </c>
      <c r="B583" t="s">
        <v>10</v>
      </c>
      <c r="C583" t="s">
        <v>7</v>
      </c>
      <c r="D583" t="s">
        <v>11</v>
      </c>
      <c r="E583">
        <v>1412.67</v>
      </c>
      <c r="F583">
        <v>2</v>
      </c>
      <c r="G583" s="4" t="str">
        <f>_xlfn.XLOOKUP($B583,supplier_data!A:A,supplier_data!B:B)</f>
        <v>Samsung</v>
      </c>
    </row>
    <row r="584" spans="1:7" x14ac:dyDescent="0.25">
      <c r="A584" s="1">
        <v>45097</v>
      </c>
      <c r="B584" t="s">
        <v>20</v>
      </c>
      <c r="C584" t="s">
        <v>7</v>
      </c>
      <c r="D584" t="s">
        <v>9</v>
      </c>
      <c r="E584">
        <v>787.24</v>
      </c>
      <c r="F584">
        <v>36</v>
      </c>
      <c r="G584" s="4" t="str">
        <f>_xlfn.XLOOKUP($B584,supplier_data!A:A,supplier_data!B:B)</f>
        <v>Logitech</v>
      </c>
    </row>
    <row r="585" spans="1:7" x14ac:dyDescent="0.25">
      <c r="A585" s="1">
        <v>44999</v>
      </c>
      <c r="B585" t="s">
        <v>6</v>
      </c>
      <c r="C585" t="s">
        <v>7</v>
      </c>
      <c r="D585" t="s">
        <v>11</v>
      </c>
      <c r="E585">
        <v>1383.37</v>
      </c>
      <c r="F585">
        <v>3</v>
      </c>
      <c r="G585" s="4" t="str">
        <f>_xlfn.XLOOKUP($B585,supplier_data!A:A,supplier_data!B:B)</f>
        <v>Canon</v>
      </c>
    </row>
    <row r="586" spans="1:7" x14ac:dyDescent="0.25">
      <c r="A586" s="1">
        <v>45090</v>
      </c>
      <c r="B586" t="s">
        <v>19</v>
      </c>
      <c r="C586" t="s">
        <v>7</v>
      </c>
      <c r="D586" t="s">
        <v>13</v>
      </c>
      <c r="E586">
        <v>1155.21</v>
      </c>
      <c r="F586">
        <v>32</v>
      </c>
      <c r="G586" s="4" t="str">
        <f>_xlfn.XLOOKUP($B586,supplier_data!A:A,supplier_data!B:B)</f>
        <v>HP</v>
      </c>
    </row>
    <row r="587" spans="1:7" x14ac:dyDescent="0.25">
      <c r="A587" s="1">
        <v>44975</v>
      </c>
      <c r="B587" t="s">
        <v>22</v>
      </c>
      <c r="C587" t="s">
        <v>7</v>
      </c>
      <c r="D587" t="s">
        <v>8</v>
      </c>
      <c r="E587">
        <v>1346.63</v>
      </c>
      <c r="F587">
        <v>20</v>
      </c>
      <c r="G587" s="4" t="str">
        <f>_xlfn.XLOOKUP($B587,supplier_data!A:A,supplier_data!B:B)</f>
        <v>Apple</v>
      </c>
    </row>
    <row r="588" spans="1:7" x14ac:dyDescent="0.25">
      <c r="A588" s="1">
        <v>45018</v>
      </c>
      <c r="B588" t="s">
        <v>19</v>
      </c>
      <c r="C588" t="s">
        <v>7</v>
      </c>
      <c r="D588" t="s">
        <v>9</v>
      </c>
      <c r="E588">
        <v>413.5</v>
      </c>
      <c r="F588">
        <v>15</v>
      </c>
      <c r="G588" s="4" t="str">
        <f>_xlfn.XLOOKUP($B588,supplier_data!A:A,supplier_data!B:B)</f>
        <v>HP</v>
      </c>
    </row>
    <row r="589" spans="1:7" x14ac:dyDescent="0.25">
      <c r="A589" s="1">
        <v>44943</v>
      </c>
      <c r="B589" t="s">
        <v>10</v>
      </c>
      <c r="C589" t="s">
        <v>7</v>
      </c>
      <c r="D589" t="s">
        <v>11</v>
      </c>
      <c r="E589">
        <v>846.91</v>
      </c>
      <c r="F589">
        <v>1</v>
      </c>
      <c r="G589" s="4" t="str">
        <f>_xlfn.XLOOKUP($B589,supplier_data!A:A,supplier_data!B:B)</f>
        <v>Samsung</v>
      </c>
    </row>
    <row r="590" spans="1:7" x14ac:dyDescent="0.25">
      <c r="A590" s="1">
        <v>45162</v>
      </c>
      <c r="B590" t="s">
        <v>14</v>
      </c>
      <c r="C590" t="s">
        <v>7</v>
      </c>
      <c r="D590" t="s">
        <v>13</v>
      </c>
      <c r="E590">
        <v>1405.06</v>
      </c>
      <c r="F590">
        <v>46</v>
      </c>
      <c r="G590" s="4" t="str">
        <f>_xlfn.XLOOKUP($B590,supplier_data!A:A,supplier_data!B:B)</f>
        <v>LG</v>
      </c>
    </row>
    <row r="591" spans="1:7" x14ac:dyDescent="0.25">
      <c r="A591" s="1">
        <v>45173</v>
      </c>
      <c r="B591" t="s">
        <v>6</v>
      </c>
      <c r="C591" t="s">
        <v>7</v>
      </c>
      <c r="D591" t="s">
        <v>9</v>
      </c>
      <c r="E591">
        <v>862.76</v>
      </c>
      <c r="F591">
        <v>33</v>
      </c>
      <c r="G591" s="4" t="str">
        <f>_xlfn.XLOOKUP($B591,supplier_data!A:A,supplier_data!B:B)</f>
        <v>Canon</v>
      </c>
    </row>
    <row r="592" spans="1:7" x14ac:dyDescent="0.25">
      <c r="A592" s="1">
        <v>44930</v>
      </c>
      <c r="B592" t="s">
        <v>12</v>
      </c>
      <c r="C592" t="s">
        <v>7</v>
      </c>
      <c r="D592" t="s">
        <v>11</v>
      </c>
      <c r="E592">
        <v>792.88</v>
      </c>
      <c r="F592">
        <v>26</v>
      </c>
      <c r="G592" s="4" t="str">
        <f>_xlfn.XLOOKUP($B592,supplier_data!A:A,supplier_data!B:B)</f>
        <v>Dell</v>
      </c>
    </row>
    <row r="593" spans="1:7" x14ac:dyDescent="0.25">
      <c r="A593" s="1">
        <v>45234</v>
      </c>
      <c r="B593" t="s">
        <v>14</v>
      </c>
      <c r="C593" t="s">
        <v>7</v>
      </c>
      <c r="D593" t="s">
        <v>11</v>
      </c>
      <c r="E593">
        <v>1782.77</v>
      </c>
      <c r="F593">
        <v>49</v>
      </c>
      <c r="G593" s="4" t="str">
        <f>_xlfn.XLOOKUP($B593,supplier_data!A:A,supplier_data!B:B)</f>
        <v>LG</v>
      </c>
    </row>
    <row r="594" spans="1:7" x14ac:dyDescent="0.25">
      <c r="A594" s="1">
        <v>44967</v>
      </c>
      <c r="B594" t="s">
        <v>19</v>
      </c>
      <c r="C594" t="s">
        <v>7</v>
      </c>
      <c r="D594" t="s">
        <v>11</v>
      </c>
      <c r="E594">
        <v>1384.36</v>
      </c>
      <c r="F594">
        <v>23</v>
      </c>
      <c r="G594" s="4" t="str">
        <f>_xlfn.XLOOKUP($B594,supplier_data!A:A,supplier_data!B:B)</f>
        <v>HP</v>
      </c>
    </row>
    <row r="595" spans="1:7" x14ac:dyDescent="0.25">
      <c r="A595" s="1">
        <v>45099</v>
      </c>
      <c r="B595" t="s">
        <v>20</v>
      </c>
      <c r="C595" t="s">
        <v>7</v>
      </c>
      <c r="D595" t="s">
        <v>9</v>
      </c>
      <c r="E595">
        <v>156.53</v>
      </c>
      <c r="F595">
        <v>46</v>
      </c>
      <c r="G595" s="4" t="str">
        <f>_xlfn.XLOOKUP($B595,supplier_data!A:A,supplier_data!B:B)</f>
        <v>Logitech</v>
      </c>
    </row>
    <row r="596" spans="1:7" x14ac:dyDescent="0.25">
      <c r="A596" s="1">
        <v>44995</v>
      </c>
      <c r="B596" t="s">
        <v>10</v>
      </c>
      <c r="C596" t="s">
        <v>7</v>
      </c>
      <c r="D596" t="s">
        <v>11</v>
      </c>
      <c r="E596">
        <v>954.92</v>
      </c>
      <c r="F596">
        <v>27</v>
      </c>
      <c r="G596" s="4" t="str">
        <f>_xlfn.XLOOKUP($B596,supplier_data!A:A,supplier_data!B:B)</f>
        <v>Samsung</v>
      </c>
    </row>
    <row r="597" spans="1:7" x14ac:dyDescent="0.25">
      <c r="A597" s="1">
        <v>45178</v>
      </c>
      <c r="B597" t="s">
        <v>22</v>
      </c>
      <c r="C597" t="s">
        <v>7</v>
      </c>
      <c r="D597" t="s">
        <v>9</v>
      </c>
      <c r="E597">
        <v>1504.73</v>
      </c>
      <c r="F597">
        <v>22</v>
      </c>
      <c r="G597" s="4" t="str">
        <f>_xlfn.XLOOKUP($B597,supplier_data!A:A,supplier_data!B:B)</f>
        <v>Apple</v>
      </c>
    </row>
    <row r="598" spans="1:7" x14ac:dyDescent="0.25">
      <c r="A598" s="1">
        <v>45049</v>
      </c>
      <c r="B598" t="s">
        <v>22</v>
      </c>
      <c r="C598" t="s">
        <v>7</v>
      </c>
      <c r="D598" t="s">
        <v>9</v>
      </c>
      <c r="E598">
        <v>1726.3</v>
      </c>
      <c r="F598">
        <v>17</v>
      </c>
      <c r="G598" s="4" t="str">
        <f>_xlfn.XLOOKUP($B598,supplier_data!A:A,supplier_data!B:B)</f>
        <v>Apple</v>
      </c>
    </row>
    <row r="599" spans="1:7" x14ac:dyDescent="0.25">
      <c r="A599" s="1">
        <v>45105</v>
      </c>
      <c r="B599" t="s">
        <v>17</v>
      </c>
      <c r="C599" t="s">
        <v>18</v>
      </c>
      <c r="D599" t="s">
        <v>11</v>
      </c>
      <c r="E599">
        <v>1257.04</v>
      </c>
      <c r="F599">
        <v>9</v>
      </c>
      <c r="G599" s="4" t="str">
        <f>_xlfn.XLOOKUP($B599,supplier_data!A:A,supplier_data!B:B)</f>
        <v>Fossil</v>
      </c>
    </row>
    <row r="600" spans="1:7" x14ac:dyDescent="0.25">
      <c r="A600" s="1">
        <v>45249</v>
      </c>
      <c r="B600" t="s">
        <v>19</v>
      </c>
      <c r="C600" t="s">
        <v>7</v>
      </c>
      <c r="D600" t="s">
        <v>9</v>
      </c>
      <c r="E600">
        <v>1597.31</v>
      </c>
      <c r="F600">
        <v>17</v>
      </c>
      <c r="G600" s="4" t="str">
        <f>_xlfn.XLOOKUP($B600,supplier_data!A:A,supplier_data!B:B)</f>
        <v>HP</v>
      </c>
    </row>
    <row r="601" spans="1:7" x14ac:dyDescent="0.25">
      <c r="A601" s="1">
        <v>44984</v>
      </c>
      <c r="B601" t="s">
        <v>21</v>
      </c>
      <c r="C601" t="s">
        <v>7</v>
      </c>
      <c r="D601" t="s">
        <v>13</v>
      </c>
      <c r="E601">
        <v>1224.7</v>
      </c>
      <c r="F601">
        <v>16</v>
      </c>
      <c r="G601" s="4" t="str">
        <f>_xlfn.XLOOKUP($B601,supplier_data!A:A,supplier_data!B:B)</f>
        <v>Sony</v>
      </c>
    </row>
    <row r="602" spans="1:7" x14ac:dyDescent="0.25">
      <c r="A602" s="1">
        <v>45080</v>
      </c>
      <c r="B602" t="s">
        <v>14</v>
      </c>
      <c r="C602" t="s">
        <v>7</v>
      </c>
      <c r="D602" t="s">
        <v>9</v>
      </c>
      <c r="E602">
        <v>733.32</v>
      </c>
      <c r="F602">
        <v>27</v>
      </c>
      <c r="G602" s="4" t="str">
        <f>_xlfn.XLOOKUP($B602,supplier_data!A:A,supplier_data!B:B)</f>
        <v>LG</v>
      </c>
    </row>
    <row r="603" spans="1:7" x14ac:dyDescent="0.25">
      <c r="A603" s="1">
        <v>45175</v>
      </c>
      <c r="B603" t="s">
        <v>12</v>
      </c>
      <c r="C603" t="s">
        <v>7</v>
      </c>
      <c r="D603" t="s">
        <v>11</v>
      </c>
      <c r="E603">
        <v>503.78</v>
      </c>
      <c r="F603">
        <v>11</v>
      </c>
      <c r="G603" s="4" t="str">
        <f>_xlfn.XLOOKUP($B603,supplier_data!A:A,supplier_data!B:B)</f>
        <v>Dell</v>
      </c>
    </row>
    <row r="604" spans="1:7" x14ac:dyDescent="0.25">
      <c r="A604" s="1">
        <v>45158</v>
      </c>
      <c r="B604" t="s">
        <v>20</v>
      </c>
      <c r="C604" t="s">
        <v>7</v>
      </c>
      <c r="D604" t="s">
        <v>11</v>
      </c>
      <c r="E604">
        <v>759.12</v>
      </c>
      <c r="F604">
        <v>49</v>
      </c>
      <c r="G604" s="4" t="str">
        <f>_xlfn.XLOOKUP($B604,supplier_data!A:A,supplier_data!B:B)</f>
        <v>Logitech</v>
      </c>
    </row>
    <row r="605" spans="1:7" x14ac:dyDescent="0.25">
      <c r="A605" s="1">
        <v>45094</v>
      </c>
      <c r="B605" t="s">
        <v>19</v>
      </c>
      <c r="C605" t="s">
        <v>7</v>
      </c>
      <c r="D605" t="s">
        <v>13</v>
      </c>
      <c r="E605">
        <v>1939.29</v>
      </c>
      <c r="F605">
        <v>10</v>
      </c>
      <c r="G605" s="4" t="str">
        <f>_xlfn.XLOOKUP($B605,supplier_data!A:A,supplier_data!B:B)</f>
        <v>HP</v>
      </c>
    </row>
    <row r="606" spans="1:7" x14ac:dyDescent="0.25">
      <c r="A606" s="1">
        <v>45009</v>
      </c>
      <c r="B606" t="s">
        <v>14</v>
      </c>
      <c r="C606" t="s">
        <v>7</v>
      </c>
      <c r="D606" t="s">
        <v>8</v>
      </c>
      <c r="E606">
        <v>1341.58</v>
      </c>
      <c r="F606">
        <v>33</v>
      </c>
      <c r="G606" s="4" t="str">
        <f>_xlfn.XLOOKUP($B606,supplier_data!A:A,supplier_data!B:B)</f>
        <v>LG</v>
      </c>
    </row>
    <row r="607" spans="1:7" x14ac:dyDescent="0.25">
      <c r="A607" s="1">
        <v>45212</v>
      </c>
      <c r="B607" t="s">
        <v>6</v>
      </c>
      <c r="C607" t="s">
        <v>7</v>
      </c>
      <c r="D607" t="s">
        <v>11</v>
      </c>
      <c r="E607">
        <v>1283.33</v>
      </c>
      <c r="F607">
        <v>26</v>
      </c>
      <c r="G607" s="4" t="str">
        <f>_xlfn.XLOOKUP($B607,supplier_data!A:A,supplier_data!B:B)</f>
        <v>Canon</v>
      </c>
    </row>
    <row r="608" spans="1:7" x14ac:dyDescent="0.25">
      <c r="A608" s="1">
        <v>45141</v>
      </c>
      <c r="B608" t="s">
        <v>22</v>
      </c>
      <c r="C608" t="s">
        <v>7</v>
      </c>
      <c r="D608" t="s">
        <v>13</v>
      </c>
      <c r="E608">
        <v>1235.3599999999999</v>
      </c>
      <c r="F608">
        <v>34</v>
      </c>
      <c r="G608" s="4" t="str">
        <f>_xlfn.XLOOKUP($B608,supplier_data!A:A,supplier_data!B:B)</f>
        <v>Apple</v>
      </c>
    </row>
    <row r="609" spans="1:7" x14ac:dyDescent="0.25">
      <c r="A609" s="1">
        <v>45287</v>
      </c>
      <c r="B609" t="s">
        <v>20</v>
      </c>
      <c r="C609" t="s">
        <v>7</v>
      </c>
      <c r="D609" t="s">
        <v>13</v>
      </c>
      <c r="E609">
        <v>1380.81</v>
      </c>
      <c r="F609">
        <v>43</v>
      </c>
      <c r="G609" s="4" t="str">
        <f>_xlfn.XLOOKUP($B609,supplier_data!A:A,supplier_data!B:B)</f>
        <v>Logitech</v>
      </c>
    </row>
    <row r="610" spans="1:7" x14ac:dyDescent="0.25">
      <c r="A610" s="1">
        <v>45049</v>
      </c>
      <c r="B610" t="s">
        <v>6</v>
      </c>
      <c r="C610" t="s">
        <v>7</v>
      </c>
      <c r="D610" t="s">
        <v>11</v>
      </c>
      <c r="E610">
        <v>876.47</v>
      </c>
      <c r="F610">
        <v>2</v>
      </c>
      <c r="G610" s="4" t="str">
        <f>_xlfn.XLOOKUP($B610,supplier_data!A:A,supplier_data!B:B)</f>
        <v>Canon</v>
      </c>
    </row>
    <row r="611" spans="1:7" x14ac:dyDescent="0.25">
      <c r="A611" s="1">
        <v>44930</v>
      </c>
      <c r="B611" t="s">
        <v>12</v>
      </c>
      <c r="C611" t="s">
        <v>7</v>
      </c>
      <c r="D611" t="s">
        <v>9</v>
      </c>
      <c r="E611">
        <v>1794.86</v>
      </c>
      <c r="F611">
        <v>35</v>
      </c>
      <c r="G611" s="4" t="str">
        <f>_xlfn.XLOOKUP($B611,supplier_data!A:A,supplier_data!B:B)</f>
        <v>Dell</v>
      </c>
    </row>
    <row r="612" spans="1:7" x14ac:dyDescent="0.25">
      <c r="A612" s="1">
        <v>45269</v>
      </c>
      <c r="B612" t="s">
        <v>20</v>
      </c>
      <c r="C612" t="s">
        <v>7</v>
      </c>
      <c r="D612" t="s">
        <v>11</v>
      </c>
      <c r="E612">
        <v>1915.47</v>
      </c>
      <c r="F612">
        <v>8</v>
      </c>
      <c r="G612" s="4" t="str">
        <f>_xlfn.XLOOKUP($B612,supplier_data!A:A,supplier_data!B:B)</f>
        <v>Logitech</v>
      </c>
    </row>
    <row r="613" spans="1:7" x14ac:dyDescent="0.25">
      <c r="A613" s="1">
        <v>45259</v>
      </c>
      <c r="B613" t="s">
        <v>19</v>
      </c>
      <c r="C613" t="s">
        <v>7</v>
      </c>
      <c r="D613" t="s">
        <v>13</v>
      </c>
      <c r="E613">
        <v>1796.2</v>
      </c>
      <c r="F613">
        <v>3</v>
      </c>
      <c r="G613" s="4" t="str">
        <f>_xlfn.XLOOKUP($B613,supplier_data!A:A,supplier_data!B:B)</f>
        <v>HP</v>
      </c>
    </row>
    <row r="614" spans="1:7" x14ac:dyDescent="0.25">
      <c r="A614" s="1">
        <v>45239</v>
      </c>
      <c r="B614" t="s">
        <v>10</v>
      </c>
      <c r="C614" t="s">
        <v>7</v>
      </c>
      <c r="D614" t="s">
        <v>11</v>
      </c>
      <c r="E614">
        <v>1828.63</v>
      </c>
      <c r="F614">
        <v>7</v>
      </c>
      <c r="G614" s="4" t="str">
        <f>_xlfn.XLOOKUP($B614,supplier_data!A:A,supplier_data!B:B)</f>
        <v>Samsung</v>
      </c>
    </row>
    <row r="615" spans="1:7" x14ac:dyDescent="0.25">
      <c r="A615" s="1">
        <v>45169</v>
      </c>
      <c r="B615" t="s">
        <v>6</v>
      </c>
      <c r="C615" t="s">
        <v>7</v>
      </c>
      <c r="D615" t="s">
        <v>13</v>
      </c>
      <c r="E615">
        <v>831.16</v>
      </c>
      <c r="F615">
        <v>44</v>
      </c>
      <c r="G615" s="4" t="str">
        <f>_xlfn.XLOOKUP($B615,supplier_data!A:A,supplier_data!B:B)</f>
        <v>Canon</v>
      </c>
    </row>
    <row r="616" spans="1:7" x14ac:dyDescent="0.25">
      <c r="A616" s="1">
        <v>45247</v>
      </c>
      <c r="B616" t="s">
        <v>17</v>
      </c>
      <c r="C616" t="s">
        <v>18</v>
      </c>
      <c r="D616" t="s">
        <v>13</v>
      </c>
      <c r="E616">
        <v>841.85</v>
      </c>
      <c r="F616">
        <v>12</v>
      </c>
      <c r="G616" s="4" t="str">
        <f>_xlfn.XLOOKUP($B616,supplier_data!A:A,supplier_data!B:B)</f>
        <v>Fossil</v>
      </c>
    </row>
    <row r="617" spans="1:7" x14ac:dyDescent="0.25">
      <c r="A617" s="1">
        <v>45023</v>
      </c>
      <c r="B617" t="s">
        <v>22</v>
      </c>
      <c r="C617" t="s">
        <v>7</v>
      </c>
      <c r="D617" t="s">
        <v>8</v>
      </c>
      <c r="E617">
        <v>1469.66</v>
      </c>
      <c r="F617">
        <v>43</v>
      </c>
      <c r="G617" s="4" t="str">
        <f>_xlfn.XLOOKUP($B617,supplier_data!A:A,supplier_data!B:B)</f>
        <v>Apple</v>
      </c>
    </row>
    <row r="618" spans="1:7" x14ac:dyDescent="0.25">
      <c r="A618" s="1">
        <v>44946</v>
      </c>
      <c r="B618" t="s">
        <v>17</v>
      </c>
      <c r="C618" t="s">
        <v>18</v>
      </c>
      <c r="D618" t="s">
        <v>9</v>
      </c>
      <c r="E618">
        <v>552.47</v>
      </c>
      <c r="F618">
        <v>36</v>
      </c>
      <c r="G618" s="4" t="str">
        <f>_xlfn.XLOOKUP($B618,supplier_data!A:A,supplier_data!B:B)</f>
        <v>Fossil</v>
      </c>
    </row>
    <row r="619" spans="1:7" x14ac:dyDescent="0.25">
      <c r="A619" s="1">
        <v>45054</v>
      </c>
      <c r="B619" t="s">
        <v>10</v>
      </c>
      <c r="C619" t="s">
        <v>7</v>
      </c>
      <c r="D619" t="s">
        <v>13</v>
      </c>
      <c r="E619">
        <v>766.48</v>
      </c>
      <c r="F619">
        <v>14</v>
      </c>
      <c r="G619" s="4" t="str">
        <f>_xlfn.XLOOKUP($B619,supplier_data!A:A,supplier_data!B:B)</f>
        <v>Samsung</v>
      </c>
    </row>
    <row r="620" spans="1:7" x14ac:dyDescent="0.25">
      <c r="A620" s="1">
        <v>45074</v>
      </c>
      <c r="B620" t="s">
        <v>17</v>
      </c>
      <c r="C620" t="s">
        <v>18</v>
      </c>
      <c r="D620" t="s">
        <v>13</v>
      </c>
      <c r="E620">
        <v>794.51</v>
      </c>
      <c r="F620">
        <v>4</v>
      </c>
      <c r="G620" s="4" t="str">
        <f>_xlfn.XLOOKUP($B620,supplier_data!A:A,supplier_data!B:B)</f>
        <v>Fossil</v>
      </c>
    </row>
    <row r="621" spans="1:7" x14ac:dyDescent="0.25">
      <c r="A621" s="1">
        <v>45222</v>
      </c>
      <c r="B621" t="s">
        <v>21</v>
      </c>
      <c r="C621" t="s">
        <v>7</v>
      </c>
      <c r="D621" t="s">
        <v>9</v>
      </c>
      <c r="E621">
        <v>1792.81</v>
      </c>
      <c r="F621">
        <v>22</v>
      </c>
      <c r="G621" s="4" t="str">
        <f>_xlfn.XLOOKUP($B621,supplier_data!A:A,supplier_data!B:B)</f>
        <v>Sony</v>
      </c>
    </row>
    <row r="622" spans="1:7" x14ac:dyDescent="0.25">
      <c r="A622" s="1">
        <v>45007</v>
      </c>
      <c r="B622" t="s">
        <v>20</v>
      </c>
      <c r="C622" t="s">
        <v>7</v>
      </c>
      <c r="D622" t="s">
        <v>9</v>
      </c>
      <c r="E622">
        <v>661.34</v>
      </c>
      <c r="F622">
        <v>48</v>
      </c>
      <c r="G622" s="4" t="str">
        <f>_xlfn.XLOOKUP($B622,supplier_data!A:A,supplier_data!B:B)</f>
        <v>Logitech</v>
      </c>
    </row>
    <row r="623" spans="1:7" x14ac:dyDescent="0.25">
      <c r="A623" s="1">
        <v>44936</v>
      </c>
      <c r="B623" t="s">
        <v>22</v>
      </c>
      <c r="C623" t="s">
        <v>7</v>
      </c>
      <c r="D623" t="s">
        <v>9</v>
      </c>
      <c r="E623">
        <v>374.31</v>
      </c>
      <c r="F623">
        <v>49</v>
      </c>
      <c r="G623" s="4" t="str">
        <f>_xlfn.XLOOKUP($B623,supplier_data!A:A,supplier_data!B:B)</f>
        <v>Apple</v>
      </c>
    </row>
    <row r="624" spans="1:7" x14ac:dyDescent="0.25">
      <c r="A624" s="1">
        <v>44972</v>
      </c>
      <c r="B624" t="s">
        <v>15</v>
      </c>
      <c r="C624" t="s">
        <v>16</v>
      </c>
      <c r="D624" t="s">
        <v>8</v>
      </c>
      <c r="E624">
        <v>1622.83</v>
      </c>
      <c r="F624">
        <v>19</v>
      </c>
      <c r="G624" s="4" t="str">
        <f>_xlfn.XLOOKUP($B624,supplier_data!A:A,supplier_data!B:B)</f>
        <v>Nike</v>
      </c>
    </row>
    <row r="625" spans="1:7" x14ac:dyDescent="0.25">
      <c r="A625" s="1">
        <v>44967</v>
      </c>
      <c r="B625" t="s">
        <v>20</v>
      </c>
      <c r="C625" t="s">
        <v>7</v>
      </c>
      <c r="D625" t="s">
        <v>9</v>
      </c>
      <c r="E625">
        <v>1506.06</v>
      </c>
      <c r="F625">
        <v>8</v>
      </c>
      <c r="G625" s="4" t="str">
        <f>_xlfn.XLOOKUP($B625,supplier_data!A:A,supplier_data!B:B)</f>
        <v>Logitech</v>
      </c>
    </row>
    <row r="626" spans="1:7" x14ac:dyDescent="0.25">
      <c r="A626" s="1">
        <v>44984</v>
      </c>
      <c r="B626" t="s">
        <v>19</v>
      </c>
      <c r="C626" t="s">
        <v>7</v>
      </c>
      <c r="D626" t="s">
        <v>13</v>
      </c>
      <c r="E626">
        <v>877.55</v>
      </c>
      <c r="F626">
        <v>18</v>
      </c>
      <c r="G626" s="4" t="str">
        <f>_xlfn.XLOOKUP($B626,supplier_data!A:A,supplier_data!B:B)</f>
        <v>HP</v>
      </c>
    </row>
    <row r="627" spans="1:7" x14ac:dyDescent="0.25">
      <c r="A627" s="1">
        <v>45016</v>
      </c>
      <c r="B627" t="s">
        <v>12</v>
      </c>
      <c r="C627" t="s">
        <v>7</v>
      </c>
      <c r="D627" t="s">
        <v>13</v>
      </c>
      <c r="E627">
        <v>738.14</v>
      </c>
      <c r="F627">
        <v>26</v>
      </c>
      <c r="G627" s="4" t="str">
        <f>_xlfn.XLOOKUP($B627,supplier_data!A:A,supplier_data!B:B)</f>
        <v>Dell</v>
      </c>
    </row>
    <row r="628" spans="1:7" x14ac:dyDescent="0.25">
      <c r="A628" s="1">
        <v>45278</v>
      </c>
      <c r="B628" t="s">
        <v>14</v>
      </c>
      <c r="C628" t="s">
        <v>7</v>
      </c>
      <c r="D628" t="s">
        <v>8</v>
      </c>
      <c r="E628">
        <v>386.4</v>
      </c>
      <c r="F628">
        <v>33</v>
      </c>
      <c r="G628" s="4" t="str">
        <f>_xlfn.XLOOKUP($B628,supplier_data!A:A,supplier_data!B:B)</f>
        <v>LG</v>
      </c>
    </row>
    <row r="629" spans="1:7" x14ac:dyDescent="0.25">
      <c r="A629" s="1">
        <v>45171</v>
      </c>
      <c r="B629" t="s">
        <v>19</v>
      </c>
      <c r="C629" t="s">
        <v>7</v>
      </c>
      <c r="D629" t="s">
        <v>9</v>
      </c>
      <c r="E629">
        <v>334.07</v>
      </c>
      <c r="F629">
        <v>25</v>
      </c>
      <c r="G629" s="4" t="str">
        <f>_xlfn.XLOOKUP($B629,supplier_data!A:A,supplier_data!B:B)</f>
        <v>HP</v>
      </c>
    </row>
    <row r="630" spans="1:7" x14ac:dyDescent="0.25">
      <c r="A630" s="1">
        <v>45162</v>
      </c>
      <c r="B630" t="s">
        <v>15</v>
      </c>
      <c r="C630" t="s">
        <v>16</v>
      </c>
      <c r="D630" t="s">
        <v>8</v>
      </c>
      <c r="E630">
        <v>1372.53</v>
      </c>
      <c r="F630">
        <v>14</v>
      </c>
      <c r="G630" s="4" t="str">
        <f>_xlfn.XLOOKUP($B630,supplier_data!A:A,supplier_data!B:B)</f>
        <v>Nike</v>
      </c>
    </row>
    <row r="631" spans="1:7" x14ac:dyDescent="0.25">
      <c r="A631" s="1">
        <v>45087</v>
      </c>
      <c r="B631" t="s">
        <v>10</v>
      </c>
      <c r="C631" t="s">
        <v>7</v>
      </c>
      <c r="D631" t="s">
        <v>8</v>
      </c>
      <c r="E631">
        <v>621.88</v>
      </c>
      <c r="F631">
        <v>8</v>
      </c>
      <c r="G631" s="4" t="str">
        <f>_xlfn.XLOOKUP($B631,supplier_data!A:A,supplier_data!B:B)</f>
        <v>Samsung</v>
      </c>
    </row>
    <row r="632" spans="1:7" x14ac:dyDescent="0.25">
      <c r="A632" s="1">
        <v>45162</v>
      </c>
      <c r="B632" t="s">
        <v>14</v>
      </c>
      <c r="C632" t="s">
        <v>7</v>
      </c>
      <c r="D632" t="s">
        <v>8</v>
      </c>
      <c r="E632">
        <v>247.4</v>
      </c>
      <c r="F632">
        <v>13</v>
      </c>
      <c r="G632" s="4" t="str">
        <f>_xlfn.XLOOKUP($B632,supplier_data!A:A,supplier_data!B:B)</f>
        <v>LG</v>
      </c>
    </row>
    <row r="633" spans="1:7" x14ac:dyDescent="0.25">
      <c r="A633" s="1">
        <v>45171</v>
      </c>
      <c r="B633" t="s">
        <v>15</v>
      </c>
      <c r="C633" t="s">
        <v>16</v>
      </c>
      <c r="D633" t="s">
        <v>9</v>
      </c>
      <c r="E633">
        <v>1101.4100000000001</v>
      </c>
      <c r="F633">
        <v>19</v>
      </c>
      <c r="G633" s="4" t="str">
        <f>_xlfn.XLOOKUP($B633,supplier_data!A:A,supplier_data!B:B)</f>
        <v>Nike</v>
      </c>
    </row>
    <row r="634" spans="1:7" x14ac:dyDescent="0.25">
      <c r="A634" s="1">
        <v>45089</v>
      </c>
      <c r="B634" t="s">
        <v>6</v>
      </c>
      <c r="C634" t="s">
        <v>7</v>
      </c>
      <c r="D634" t="s">
        <v>9</v>
      </c>
      <c r="E634">
        <v>1564.33</v>
      </c>
      <c r="F634">
        <v>30</v>
      </c>
      <c r="G634" s="4" t="str">
        <f>_xlfn.XLOOKUP($B634,supplier_data!A:A,supplier_data!B:B)</f>
        <v>Canon</v>
      </c>
    </row>
    <row r="635" spans="1:7" x14ac:dyDescent="0.25">
      <c r="A635" s="1">
        <v>45194</v>
      </c>
      <c r="B635" t="s">
        <v>19</v>
      </c>
      <c r="C635" t="s">
        <v>7</v>
      </c>
      <c r="D635" t="s">
        <v>11</v>
      </c>
      <c r="E635">
        <v>1778.94</v>
      </c>
      <c r="F635">
        <v>40</v>
      </c>
      <c r="G635" s="4" t="str">
        <f>_xlfn.XLOOKUP($B635,supplier_data!A:A,supplier_data!B:B)</f>
        <v>HP</v>
      </c>
    </row>
    <row r="636" spans="1:7" x14ac:dyDescent="0.25">
      <c r="A636" s="1">
        <v>45031</v>
      </c>
      <c r="B636" t="s">
        <v>14</v>
      </c>
      <c r="C636" t="s">
        <v>7</v>
      </c>
      <c r="D636" t="s">
        <v>13</v>
      </c>
      <c r="E636">
        <v>1307.6099999999999</v>
      </c>
      <c r="F636">
        <v>9</v>
      </c>
      <c r="G636" s="4" t="str">
        <f>_xlfn.XLOOKUP($B636,supplier_data!A:A,supplier_data!B:B)</f>
        <v>LG</v>
      </c>
    </row>
    <row r="637" spans="1:7" x14ac:dyDescent="0.25">
      <c r="A637" s="1">
        <v>45136</v>
      </c>
      <c r="B637" t="s">
        <v>19</v>
      </c>
      <c r="C637" t="s">
        <v>7</v>
      </c>
      <c r="D637" t="s">
        <v>8</v>
      </c>
      <c r="E637">
        <v>208.44</v>
      </c>
      <c r="F637">
        <v>4</v>
      </c>
      <c r="G637" s="4" t="str">
        <f>_xlfn.XLOOKUP($B637,supplier_data!A:A,supplier_data!B:B)</f>
        <v>HP</v>
      </c>
    </row>
    <row r="638" spans="1:7" x14ac:dyDescent="0.25">
      <c r="A638" s="1">
        <v>45161</v>
      </c>
      <c r="B638" t="s">
        <v>14</v>
      </c>
      <c r="C638" t="s">
        <v>7</v>
      </c>
      <c r="D638" t="s">
        <v>13</v>
      </c>
      <c r="E638">
        <v>290.39</v>
      </c>
      <c r="F638">
        <v>43</v>
      </c>
      <c r="G638" s="4" t="str">
        <f>_xlfn.XLOOKUP($B638,supplier_data!A:A,supplier_data!B:B)</f>
        <v>LG</v>
      </c>
    </row>
    <row r="639" spans="1:7" x14ac:dyDescent="0.25">
      <c r="A639" s="1">
        <v>44946</v>
      </c>
      <c r="B639" t="s">
        <v>15</v>
      </c>
      <c r="C639" t="s">
        <v>16</v>
      </c>
      <c r="D639" t="s">
        <v>11</v>
      </c>
      <c r="E639">
        <v>1856.01</v>
      </c>
      <c r="F639">
        <v>48</v>
      </c>
      <c r="G639" s="4" t="str">
        <f>_xlfn.XLOOKUP($B639,supplier_data!A:A,supplier_data!B:B)</f>
        <v>Nike</v>
      </c>
    </row>
    <row r="640" spans="1:7" x14ac:dyDescent="0.25">
      <c r="A640" s="1">
        <v>45131</v>
      </c>
      <c r="B640" t="s">
        <v>21</v>
      </c>
      <c r="C640" t="s">
        <v>7</v>
      </c>
      <c r="D640" t="s">
        <v>11</v>
      </c>
      <c r="E640">
        <v>1707.89</v>
      </c>
      <c r="F640">
        <v>29</v>
      </c>
      <c r="G640" s="4" t="str">
        <f>_xlfn.XLOOKUP($B640,supplier_data!A:A,supplier_data!B:B)</f>
        <v>Sony</v>
      </c>
    </row>
    <row r="641" spans="1:7" x14ac:dyDescent="0.25">
      <c r="A641" s="1">
        <v>45292</v>
      </c>
      <c r="B641" t="s">
        <v>10</v>
      </c>
      <c r="C641" t="s">
        <v>7</v>
      </c>
      <c r="D641" t="s">
        <v>9</v>
      </c>
      <c r="E641">
        <v>1013.42</v>
      </c>
      <c r="F641">
        <v>33</v>
      </c>
      <c r="G641" s="4" t="str">
        <f>_xlfn.XLOOKUP($B641,supplier_data!A:A,supplier_data!B:B)</f>
        <v>Samsung</v>
      </c>
    </row>
    <row r="642" spans="1:7" x14ac:dyDescent="0.25">
      <c r="A642" s="1">
        <v>44933</v>
      </c>
      <c r="B642" t="s">
        <v>6</v>
      </c>
      <c r="C642" t="s">
        <v>7</v>
      </c>
      <c r="D642" t="s">
        <v>13</v>
      </c>
      <c r="E642">
        <v>124.76</v>
      </c>
      <c r="F642">
        <v>39</v>
      </c>
      <c r="G642" s="4" t="str">
        <f>_xlfn.XLOOKUP($B642,supplier_data!A:A,supplier_data!B:B)</f>
        <v>Canon</v>
      </c>
    </row>
    <row r="643" spans="1:7" x14ac:dyDescent="0.25">
      <c r="A643" s="1">
        <v>45044</v>
      </c>
      <c r="B643" t="s">
        <v>12</v>
      </c>
      <c r="C643" t="s">
        <v>7</v>
      </c>
      <c r="D643" t="s">
        <v>8</v>
      </c>
      <c r="E643">
        <v>918.35</v>
      </c>
      <c r="F643">
        <v>38</v>
      </c>
      <c r="G643" s="4" t="str">
        <f>_xlfn.XLOOKUP($B643,supplier_data!A:A,supplier_data!B:B)</f>
        <v>Dell</v>
      </c>
    </row>
    <row r="644" spans="1:7" x14ac:dyDescent="0.25">
      <c r="A644" s="1">
        <v>45123</v>
      </c>
      <c r="B644" t="s">
        <v>17</v>
      </c>
      <c r="C644" t="s">
        <v>18</v>
      </c>
      <c r="D644" t="s">
        <v>9</v>
      </c>
      <c r="E644">
        <v>1438.39</v>
      </c>
      <c r="F644">
        <v>1</v>
      </c>
      <c r="G644" s="4" t="str">
        <f>_xlfn.XLOOKUP($B644,supplier_data!A:A,supplier_data!B:B)</f>
        <v>Fossil</v>
      </c>
    </row>
    <row r="645" spans="1:7" x14ac:dyDescent="0.25">
      <c r="A645" s="1">
        <v>45119</v>
      </c>
      <c r="B645" t="s">
        <v>21</v>
      </c>
      <c r="C645" t="s">
        <v>7</v>
      </c>
      <c r="D645" t="s">
        <v>13</v>
      </c>
      <c r="E645">
        <v>229.3</v>
      </c>
      <c r="F645">
        <v>31</v>
      </c>
      <c r="G645" s="4" t="str">
        <f>_xlfn.XLOOKUP($B645,supplier_data!A:A,supplier_data!B:B)</f>
        <v>Sony</v>
      </c>
    </row>
    <row r="646" spans="1:7" x14ac:dyDescent="0.25">
      <c r="A646" s="1">
        <v>45232</v>
      </c>
      <c r="B646" t="s">
        <v>20</v>
      </c>
      <c r="C646" t="s">
        <v>7</v>
      </c>
      <c r="D646" t="s">
        <v>11</v>
      </c>
      <c r="E646">
        <v>512.15</v>
      </c>
      <c r="F646">
        <v>26</v>
      </c>
      <c r="G646" s="4" t="str">
        <f>_xlfn.XLOOKUP($B646,supplier_data!A:A,supplier_data!B:B)</f>
        <v>Logitech</v>
      </c>
    </row>
    <row r="647" spans="1:7" x14ac:dyDescent="0.25">
      <c r="A647" s="1">
        <v>45251</v>
      </c>
      <c r="B647" t="s">
        <v>21</v>
      </c>
      <c r="C647" t="s">
        <v>7</v>
      </c>
      <c r="D647" t="s">
        <v>8</v>
      </c>
      <c r="E647">
        <v>1770.89</v>
      </c>
      <c r="F647">
        <v>46</v>
      </c>
      <c r="G647" s="4" t="str">
        <f>_xlfn.XLOOKUP($B647,supplier_data!A:A,supplier_data!B:B)</f>
        <v>Sony</v>
      </c>
    </row>
    <row r="648" spans="1:7" x14ac:dyDescent="0.25">
      <c r="A648" s="1">
        <v>45113</v>
      </c>
      <c r="B648" t="s">
        <v>19</v>
      </c>
      <c r="C648" t="s">
        <v>7</v>
      </c>
      <c r="D648" t="s">
        <v>11</v>
      </c>
      <c r="E648">
        <v>353.35</v>
      </c>
      <c r="F648">
        <v>5</v>
      </c>
      <c r="G648" s="4" t="str">
        <f>_xlfn.XLOOKUP($B648,supplier_data!A:A,supplier_data!B:B)</f>
        <v>HP</v>
      </c>
    </row>
    <row r="649" spans="1:7" x14ac:dyDescent="0.25">
      <c r="A649" s="1">
        <v>45045</v>
      </c>
      <c r="B649" t="s">
        <v>22</v>
      </c>
      <c r="C649" t="s">
        <v>7</v>
      </c>
      <c r="D649" t="s">
        <v>11</v>
      </c>
      <c r="E649">
        <v>510.45</v>
      </c>
      <c r="F649">
        <v>18</v>
      </c>
      <c r="G649" s="4" t="str">
        <f>_xlfn.XLOOKUP($B649,supplier_data!A:A,supplier_data!B:B)</f>
        <v>Apple</v>
      </c>
    </row>
    <row r="650" spans="1:7" x14ac:dyDescent="0.25">
      <c r="A650" s="1">
        <v>45124</v>
      </c>
      <c r="B650" t="s">
        <v>20</v>
      </c>
      <c r="C650" t="s">
        <v>7</v>
      </c>
      <c r="D650" t="s">
        <v>13</v>
      </c>
      <c r="E650">
        <v>1328.45</v>
      </c>
      <c r="F650">
        <v>9</v>
      </c>
      <c r="G650" s="4" t="str">
        <f>_xlfn.XLOOKUP($B650,supplier_data!A:A,supplier_data!B:B)</f>
        <v>Logitech</v>
      </c>
    </row>
    <row r="651" spans="1:7" x14ac:dyDescent="0.25">
      <c r="A651" s="1">
        <v>44948</v>
      </c>
      <c r="B651" t="s">
        <v>15</v>
      </c>
      <c r="C651" t="s">
        <v>16</v>
      </c>
      <c r="D651" t="s">
        <v>9</v>
      </c>
      <c r="E651">
        <v>1470.45</v>
      </c>
      <c r="F651">
        <v>32</v>
      </c>
      <c r="G651" s="4" t="str">
        <f>_xlfn.XLOOKUP($B651,supplier_data!A:A,supplier_data!B:B)</f>
        <v>Nike</v>
      </c>
    </row>
    <row r="652" spans="1:7" x14ac:dyDescent="0.25">
      <c r="A652" s="1">
        <v>45059</v>
      </c>
      <c r="B652" t="s">
        <v>15</v>
      </c>
      <c r="C652" t="s">
        <v>16</v>
      </c>
      <c r="D652" t="s">
        <v>13</v>
      </c>
      <c r="E652">
        <v>178.37</v>
      </c>
      <c r="F652">
        <v>6</v>
      </c>
      <c r="G652" s="4" t="str">
        <f>_xlfn.XLOOKUP($B652,supplier_data!A:A,supplier_data!B:B)</f>
        <v>Nike</v>
      </c>
    </row>
    <row r="653" spans="1:7" x14ac:dyDescent="0.25">
      <c r="A653" s="1">
        <v>45247</v>
      </c>
      <c r="B653" t="s">
        <v>17</v>
      </c>
      <c r="C653" t="s">
        <v>18</v>
      </c>
      <c r="D653" t="s">
        <v>13</v>
      </c>
      <c r="E653">
        <v>1365.76</v>
      </c>
      <c r="F653">
        <v>32</v>
      </c>
      <c r="G653" s="4" t="str">
        <f>_xlfn.XLOOKUP($B653,supplier_data!A:A,supplier_data!B:B)</f>
        <v>Fossil</v>
      </c>
    </row>
    <row r="654" spans="1:7" x14ac:dyDescent="0.25">
      <c r="A654" s="1">
        <v>44975</v>
      </c>
      <c r="B654" t="s">
        <v>12</v>
      </c>
      <c r="C654" t="s">
        <v>7</v>
      </c>
      <c r="D654" t="s">
        <v>11</v>
      </c>
      <c r="E654">
        <v>1429.85</v>
      </c>
      <c r="F654">
        <v>9</v>
      </c>
      <c r="G654" s="4" t="str">
        <f>_xlfn.XLOOKUP($B654,supplier_data!A:A,supplier_data!B:B)</f>
        <v>Dell</v>
      </c>
    </row>
    <row r="655" spans="1:7" x14ac:dyDescent="0.25">
      <c r="A655" s="1">
        <v>45018</v>
      </c>
      <c r="B655" t="s">
        <v>22</v>
      </c>
      <c r="C655" t="s">
        <v>7</v>
      </c>
      <c r="D655" t="s">
        <v>9</v>
      </c>
      <c r="E655">
        <v>510.04</v>
      </c>
      <c r="F655">
        <v>29</v>
      </c>
      <c r="G655" s="4" t="str">
        <f>_xlfn.XLOOKUP($B655,supplier_data!A:A,supplier_data!B:B)</f>
        <v>Apple</v>
      </c>
    </row>
    <row r="656" spans="1:7" x14ac:dyDescent="0.25">
      <c r="A656" s="1">
        <v>45282</v>
      </c>
      <c r="B656" t="s">
        <v>22</v>
      </c>
      <c r="C656" t="s">
        <v>7</v>
      </c>
      <c r="D656" t="s">
        <v>9</v>
      </c>
      <c r="E656">
        <v>1964.52</v>
      </c>
      <c r="F656">
        <v>39</v>
      </c>
      <c r="G656" s="4" t="str">
        <f>_xlfn.XLOOKUP($B656,supplier_data!A:A,supplier_data!B:B)</f>
        <v>Apple</v>
      </c>
    </row>
    <row r="657" spans="1:7" x14ac:dyDescent="0.25">
      <c r="A657" s="1">
        <v>45063</v>
      </c>
      <c r="B657" t="s">
        <v>20</v>
      </c>
      <c r="C657" t="s">
        <v>7</v>
      </c>
      <c r="D657" t="s">
        <v>8</v>
      </c>
      <c r="E657">
        <v>1254.23</v>
      </c>
      <c r="F657">
        <v>10</v>
      </c>
      <c r="G657" s="4" t="str">
        <f>_xlfn.XLOOKUP($B657,supplier_data!A:A,supplier_data!B:B)</f>
        <v>Logitech</v>
      </c>
    </row>
    <row r="658" spans="1:7" x14ac:dyDescent="0.25">
      <c r="A658" s="1">
        <v>45159</v>
      </c>
      <c r="B658" t="s">
        <v>21</v>
      </c>
      <c r="C658" t="s">
        <v>7</v>
      </c>
      <c r="D658" t="s">
        <v>8</v>
      </c>
      <c r="E658">
        <v>271.39</v>
      </c>
      <c r="F658">
        <v>24</v>
      </c>
      <c r="G658" s="4" t="str">
        <f>_xlfn.XLOOKUP($B658,supplier_data!A:A,supplier_data!B:B)</f>
        <v>Sony</v>
      </c>
    </row>
    <row r="659" spans="1:7" x14ac:dyDescent="0.25">
      <c r="A659" s="1">
        <v>45087</v>
      </c>
      <c r="B659" t="s">
        <v>17</v>
      </c>
      <c r="C659" t="s">
        <v>18</v>
      </c>
      <c r="D659" t="s">
        <v>8</v>
      </c>
      <c r="E659">
        <v>235.55</v>
      </c>
      <c r="F659">
        <v>19</v>
      </c>
      <c r="G659" s="4" t="str">
        <f>_xlfn.XLOOKUP($B659,supplier_data!A:A,supplier_data!B:B)</f>
        <v>Fossil</v>
      </c>
    </row>
    <row r="660" spans="1:7" x14ac:dyDescent="0.25">
      <c r="A660" s="1">
        <v>44946</v>
      </c>
      <c r="B660" t="s">
        <v>20</v>
      </c>
      <c r="C660" t="s">
        <v>7</v>
      </c>
      <c r="D660" t="s">
        <v>13</v>
      </c>
      <c r="E660">
        <v>1609.81</v>
      </c>
      <c r="F660">
        <v>32</v>
      </c>
      <c r="G660" s="4" t="str">
        <f>_xlfn.XLOOKUP($B660,supplier_data!A:A,supplier_data!B:B)</f>
        <v>Logitech</v>
      </c>
    </row>
    <row r="661" spans="1:7" x14ac:dyDescent="0.25">
      <c r="A661" s="1">
        <v>45130</v>
      </c>
      <c r="B661" t="s">
        <v>12</v>
      </c>
      <c r="C661" t="s">
        <v>7</v>
      </c>
      <c r="D661" t="s">
        <v>8</v>
      </c>
      <c r="E661">
        <v>1488.19</v>
      </c>
      <c r="F661">
        <v>46</v>
      </c>
      <c r="G661" s="4" t="str">
        <f>_xlfn.XLOOKUP($B661,supplier_data!A:A,supplier_data!B:B)</f>
        <v>Dell</v>
      </c>
    </row>
    <row r="662" spans="1:7" x14ac:dyDescent="0.25">
      <c r="A662" s="1">
        <v>44934</v>
      </c>
      <c r="B662" t="s">
        <v>20</v>
      </c>
      <c r="C662" t="s">
        <v>7</v>
      </c>
      <c r="D662" t="s">
        <v>9</v>
      </c>
      <c r="E662">
        <v>906</v>
      </c>
      <c r="F662">
        <v>37</v>
      </c>
      <c r="G662" s="4" t="str">
        <f>_xlfn.XLOOKUP($B662,supplier_data!A:A,supplier_data!B:B)</f>
        <v>Logitech</v>
      </c>
    </row>
    <row r="663" spans="1:7" x14ac:dyDescent="0.25">
      <c r="A663" s="1">
        <v>45270</v>
      </c>
      <c r="B663" t="s">
        <v>12</v>
      </c>
      <c r="C663" t="s">
        <v>7</v>
      </c>
      <c r="D663" t="s">
        <v>9</v>
      </c>
      <c r="E663">
        <v>1362</v>
      </c>
      <c r="F663">
        <v>44</v>
      </c>
      <c r="G663" s="4" t="str">
        <f>_xlfn.XLOOKUP($B663,supplier_data!A:A,supplier_data!B:B)</f>
        <v>Dell</v>
      </c>
    </row>
    <row r="664" spans="1:7" x14ac:dyDescent="0.25">
      <c r="A664" s="1">
        <v>45032</v>
      </c>
      <c r="B664" t="s">
        <v>21</v>
      </c>
      <c r="C664" t="s">
        <v>7</v>
      </c>
      <c r="D664" t="s">
        <v>11</v>
      </c>
      <c r="E664">
        <v>392.33</v>
      </c>
      <c r="F664">
        <v>34</v>
      </c>
      <c r="G664" s="4" t="str">
        <f>_xlfn.XLOOKUP($B664,supplier_data!A:A,supplier_data!B:B)</f>
        <v>Sony</v>
      </c>
    </row>
    <row r="665" spans="1:7" x14ac:dyDescent="0.25">
      <c r="A665" s="1">
        <v>45176</v>
      </c>
      <c r="B665" t="s">
        <v>19</v>
      </c>
      <c r="C665" t="s">
        <v>7</v>
      </c>
      <c r="D665" t="s">
        <v>9</v>
      </c>
      <c r="E665">
        <v>302.35000000000002</v>
      </c>
      <c r="F665">
        <v>28</v>
      </c>
      <c r="G665" s="4" t="str">
        <f>_xlfn.XLOOKUP($B665,supplier_data!A:A,supplier_data!B:B)</f>
        <v>HP</v>
      </c>
    </row>
    <row r="666" spans="1:7" x14ac:dyDescent="0.25">
      <c r="A666" s="1">
        <v>45113</v>
      </c>
      <c r="B666" t="s">
        <v>12</v>
      </c>
      <c r="C666" t="s">
        <v>7</v>
      </c>
      <c r="D666" t="s">
        <v>9</v>
      </c>
      <c r="E666">
        <v>1228.75</v>
      </c>
      <c r="F666">
        <v>11</v>
      </c>
      <c r="G666" s="4" t="str">
        <f>_xlfn.XLOOKUP($B666,supplier_data!A:A,supplier_data!B:B)</f>
        <v>Dell</v>
      </c>
    </row>
    <row r="667" spans="1:7" x14ac:dyDescent="0.25">
      <c r="A667" s="1">
        <v>44988</v>
      </c>
      <c r="B667" t="s">
        <v>10</v>
      </c>
      <c r="C667" t="s">
        <v>7</v>
      </c>
      <c r="D667" t="s">
        <v>8</v>
      </c>
      <c r="E667">
        <v>1492.96</v>
      </c>
      <c r="F667">
        <v>15</v>
      </c>
      <c r="G667" s="4" t="str">
        <f>_xlfn.XLOOKUP($B667,supplier_data!A:A,supplier_data!B:B)</f>
        <v>Samsung</v>
      </c>
    </row>
    <row r="668" spans="1:7" x14ac:dyDescent="0.25">
      <c r="A668" s="1">
        <v>44938</v>
      </c>
      <c r="B668" t="s">
        <v>10</v>
      </c>
      <c r="C668" t="s">
        <v>7</v>
      </c>
      <c r="D668" t="s">
        <v>8</v>
      </c>
      <c r="E668">
        <v>1342.12</v>
      </c>
      <c r="F668">
        <v>9</v>
      </c>
      <c r="G668" s="4" t="str">
        <f>_xlfn.XLOOKUP($B668,supplier_data!A:A,supplier_data!B:B)</f>
        <v>Samsung</v>
      </c>
    </row>
    <row r="669" spans="1:7" x14ac:dyDescent="0.25">
      <c r="A669" s="1">
        <v>45257</v>
      </c>
      <c r="B669" t="s">
        <v>21</v>
      </c>
      <c r="C669" t="s">
        <v>7</v>
      </c>
      <c r="D669" t="s">
        <v>13</v>
      </c>
      <c r="E669">
        <v>612.14</v>
      </c>
      <c r="F669">
        <v>5</v>
      </c>
      <c r="G669" s="4" t="str">
        <f>_xlfn.XLOOKUP($B669,supplier_data!A:A,supplier_data!B:B)</f>
        <v>Sony</v>
      </c>
    </row>
    <row r="670" spans="1:7" x14ac:dyDescent="0.25">
      <c r="A670" s="1">
        <v>45016</v>
      </c>
      <c r="B670" t="s">
        <v>22</v>
      </c>
      <c r="C670" t="s">
        <v>7</v>
      </c>
      <c r="D670" t="s">
        <v>11</v>
      </c>
      <c r="E670">
        <v>822.42</v>
      </c>
      <c r="F670">
        <v>46</v>
      </c>
      <c r="G670" s="4" t="str">
        <f>_xlfn.XLOOKUP($B670,supplier_data!A:A,supplier_data!B:B)</f>
        <v>Apple</v>
      </c>
    </row>
    <row r="671" spans="1:7" x14ac:dyDescent="0.25">
      <c r="A671" s="1">
        <v>44952</v>
      </c>
      <c r="B671" t="s">
        <v>17</v>
      </c>
      <c r="C671" t="s">
        <v>18</v>
      </c>
      <c r="D671" t="s">
        <v>11</v>
      </c>
      <c r="E671">
        <v>1258.3699999999999</v>
      </c>
      <c r="F671">
        <v>34</v>
      </c>
      <c r="G671" s="4" t="str">
        <f>_xlfn.XLOOKUP($B671,supplier_data!A:A,supplier_data!B:B)</f>
        <v>Fossil</v>
      </c>
    </row>
    <row r="672" spans="1:7" x14ac:dyDescent="0.25">
      <c r="A672" s="1">
        <v>45120</v>
      </c>
      <c r="B672" t="s">
        <v>21</v>
      </c>
      <c r="C672" t="s">
        <v>7</v>
      </c>
      <c r="D672" t="s">
        <v>13</v>
      </c>
      <c r="E672">
        <v>1557.72</v>
      </c>
      <c r="F672">
        <v>24</v>
      </c>
      <c r="G672" s="4" t="str">
        <f>_xlfn.XLOOKUP($B672,supplier_data!A:A,supplier_data!B:B)</f>
        <v>Sony</v>
      </c>
    </row>
    <row r="673" spans="1:7" x14ac:dyDescent="0.25">
      <c r="A673" s="1">
        <v>45193</v>
      </c>
      <c r="B673" t="s">
        <v>14</v>
      </c>
      <c r="C673" t="s">
        <v>7</v>
      </c>
      <c r="D673" t="s">
        <v>13</v>
      </c>
      <c r="E673">
        <v>1789.18</v>
      </c>
      <c r="F673">
        <v>44</v>
      </c>
      <c r="G673" s="4" t="str">
        <f>_xlfn.XLOOKUP($B673,supplier_data!A:A,supplier_data!B:B)</f>
        <v>LG</v>
      </c>
    </row>
    <row r="674" spans="1:7" x14ac:dyDescent="0.25">
      <c r="A674" s="1">
        <v>45197</v>
      </c>
      <c r="B674" t="s">
        <v>19</v>
      </c>
      <c r="C674" t="s">
        <v>7</v>
      </c>
      <c r="D674" t="s">
        <v>8</v>
      </c>
      <c r="E674">
        <v>1516.88</v>
      </c>
      <c r="F674">
        <v>2</v>
      </c>
      <c r="G674" s="4" t="str">
        <f>_xlfn.XLOOKUP($B674,supplier_data!A:A,supplier_data!B:B)</f>
        <v>HP</v>
      </c>
    </row>
    <row r="675" spans="1:7" x14ac:dyDescent="0.25">
      <c r="A675" s="1">
        <v>45067</v>
      </c>
      <c r="B675" t="s">
        <v>20</v>
      </c>
      <c r="C675" t="s">
        <v>7</v>
      </c>
      <c r="D675" t="s">
        <v>11</v>
      </c>
      <c r="E675">
        <v>895.83</v>
      </c>
      <c r="F675">
        <v>37</v>
      </c>
      <c r="G675" s="4" t="str">
        <f>_xlfn.XLOOKUP($B675,supplier_data!A:A,supplier_data!B:B)</f>
        <v>Logitech</v>
      </c>
    </row>
    <row r="676" spans="1:7" x14ac:dyDescent="0.25">
      <c r="A676" s="1">
        <v>45145</v>
      </c>
      <c r="B676" t="s">
        <v>12</v>
      </c>
      <c r="C676" t="s">
        <v>7</v>
      </c>
      <c r="D676" t="s">
        <v>8</v>
      </c>
      <c r="E676">
        <v>829.77</v>
      </c>
      <c r="F676">
        <v>17</v>
      </c>
      <c r="G676" s="4" t="str">
        <f>_xlfn.XLOOKUP($B676,supplier_data!A:A,supplier_data!B:B)</f>
        <v>Dell</v>
      </c>
    </row>
    <row r="677" spans="1:7" x14ac:dyDescent="0.25">
      <c r="A677" s="1">
        <v>45112</v>
      </c>
      <c r="B677" t="s">
        <v>15</v>
      </c>
      <c r="C677" t="s">
        <v>16</v>
      </c>
      <c r="D677" t="s">
        <v>8</v>
      </c>
      <c r="E677">
        <v>1397.96</v>
      </c>
      <c r="F677">
        <v>24</v>
      </c>
      <c r="G677" s="4" t="str">
        <f>_xlfn.XLOOKUP($B677,supplier_data!A:A,supplier_data!B:B)</f>
        <v>Nike</v>
      </c>
    </row>
    <row r="678" spans="1:7" x14ac:dyDescent="0.25">
      <c r="A678" s="1">
        <v>45136</v>
      </c>
      <c r="B678" t="s">
        <v>14</v>
      </c>
      <c r="C678" t="s">
        <v>7</v>
      </c>
      <c r="D678" t="s">
        <v>8</v>
      </c>
      <c r="E678">
        <v>1585.84</v>
      </c>
      <c r="F678">
        <v>46</v>
      </c>
      <c r="G678" s="4" t="str">
        <f>_xlfn.XLOOKUP($B678,supplier_data!A:A,supplier_data!B:B)</f>
        <v>LG</v>
      </c>
    </row>
    <row r="679" spans="1:7" x14ac:dyDescent="0.25">
      <c r="A679" s="1">
        <v>45227</v>
      </c>
      <c r="B679" t="s">
        <v>22</v>
      </c>
      <c r="C679" t="s">
        <v>7</v>
      </c>
      <c r="D679" t="s">
        <v>8</v>
      </c>
      <c r="E679">
        <v>356.53</v>
      </c>
      <c r="F679">
        <v>50</v>
      </c>
      <c r="G679" s="4" t="str">
        <f>_xlfn.XLOOKUP($B679,supplier_data!A:A,supplier_data!B:B)</f>
        <v>Apple</v>
      </c>
    </row>
    <row r="680" spans="1:7" x14ac:dyDescent="0.25">
      <c r="A680" s="1">
        <v>45162</v>
      </c>
      <c r="B680" t="s">
        <v>22</v>
      </c>
      <c r="C680" t="s">
        <v>7</v>
      </c>
      <c r="D680" t="s">
        <v>11</v>
      </c>
      <c r="E680">
        <v>1123.8</v>
      </c>
      <c r="F680">
        <v>36</v>
      </c>
      <c r="G680" s="4" t="str">
        <f>_xlfn.XLOOKUP($B680,supplier_data!A:A,supplier_data!B:B)</f>
        <v>Apple</v>
      </c>
    </row>
    <row r="681" spans="1:7" x14ac:dyDescent="0.25">
      <c r="A681" s="1">
        <v>45053</v>
      </c>
      <c r="B681" t="s">
        <v>10</v>
      </c>
      <c r="C681" t="s">
        <v>7</v>
      </c>
      <c r="D681" t="s">
        <v>9</v>
      </c>
      <c r="E681">
        <v>422.99</v>
      </c>
      <c r="F681">
        <v>11</v>
      </c>
      <c r="G681" s="4" t="str">
        <f>_xlfn.XLOOKUP($B681,supplier_data!A:A,supplier_data!B:B)</f>
        <v>Samsung</v>
      </c>
    </row>
    <row r="682" spans="1:7" x14ac:dyDescent="0.25">
      <c r="A682" s="1">
        <v>45263</v>
      </c>
      <c r="B682" t="s">
        <v>22</v>
      </c>
      <c r="C682" t="s">
        <v>7</v>
      </c>
      <c r="D682" t="s">
        <v>13</v>
      </c>
      <c r="E682">
        <v>1797.04</v>
      </c>
      <c r="F682">
        <v>13</v>
      </c>
      <c r="G682" s="4" t="str">
        <f>_xlfn.XLOOKUP($B682,supplier_data!A:A,supplier_data!B:B)</f>
        <v>Apple</v>
      </c>
    </row>
    <row r="683" spans="1:7" x14ac:dyDescent="0.25">
      <c r="A683" s="1">
        <v>45233</v>
      </c>
      <c r="B683" t="s">
        <v>17</v>
      </c>
      <c r="C683" t="s">
        <v>18</v>
      </c>
      <c r="D683" t="s">
        <v>9</v>
      </c>
      <c r="E683">
        <v>741.21</v>
      </c>
      <c r="F683">
        <v>30</v>
      </c>
      <c r="G683" s="4" t="str">
        <f>_xlfn.XLOOKUP($B683,supplier_data!A:A,supplier_data!B:B)</f>
        <v>Fossil</v>
      </c>
    </row>
    <row r="684" spans="1:7" x14ac:dyDescent="0.25">
      <c r="A684" s="1">
        <v>45220</v>
      </c>
      <c r="B684" t="s">
        <v>10</v>
      </c>
      <c r="C684" t="s">
        <v>7</v>
      </c>
      <c r="D684" t="s">
        <v>11</v>
      </c>
      <c r="E684">
        <v>1066.3</v>
      </c>
      <c r="F684">
        <v>16</v>
      </c>
      <c r="G684" s="4" t="str">
        <f>_xlfn.XLOOKUP($B684,supplier_data!A:A,supplier_data!B:B)</f>
        <v>Samsung</v>
      </c>
    </row>
    <row r="685" spans="1:7" x14ac:dyDescent="0.25">
      <c r="A685" s="1">
        <v>45068</v>
      </c>
      <c r="B685" t="s">
        <v>20</v>
      </c>
      <c r="C685" t="s">
        <v>7</v>
      </c>
      <c r="D685" t="s">
        <v>11</v>
      </c>
      <c r="E685">
        <v>1658.67</v>
      </c>
      <c r="F685">
        <v>39</v>
      </c>
      <c r="G685" s="4" t="str">
        <f>_xlfn.XLOOKUP($B685,supplier_data!A:A,supplier_data!B:B)</f>
        <v>Logitech</v>
      </c>
    </row>
    <row r="686" spans="1:7" x14ac:dyDescent="0.25">
      <c r="A686" s="1">
        <v>44942</v>
      </c>
      <c r="B686" t="s">
        <v>10</v>
      </c>
      <c r="C686" t="s">
        <v>7</v>
      </c>
      <c r="D686" t="s">
        <v>9</v>
      </c>
      <c r="E686">
        <v>1785.63</v>
      </c>
      <c r="F686">
        <v>22</v>
      </c>
      <c r="G686" s="4" t="str">
        <f>_xlfn.XLOOKUP($B686,supplier_data!A:A,supplier_data!B:B)</f>
        <v>Samsung</v>
      </c>
    </row>
    <row r="687" spans="1:7" x14ac:dyDescent="0.25">
      <c r="A687" s="1">
        <v>45194</v>
      </c>
      <c r="B687" t="s">
        <v>10</v>
      </c>
      <c r="C687" t="s">
        <v>7</v>
      </c>
      <c r="D687" t="s">
        <v>13</v>
      </c>
      <c r="E687">
        <v>486.36</v>
      </c>
      <c r="F687">
        <v>47</v>
      </c>
      <c r="G687" s="4" t="str">
        <f>_xlfn.XLOOKUP($B687,supplier_data!A:A,supplier_data!B:B)</f>
        <v>Samsung</v>
      </c>
    </row>
    <row r="688" spans="1:7" x14ac:dyDescent="0.25">
      <c r="A688" s="1">
        <v>44956</v>
      </c>
      <c r="B688" t="s">
        <v>10</v>
      </c>
      <c r="C688" t="s">
        <v>7</v>
      </c>
      <c r="D688" t="s">
        <v>8</v>
      </c>
      <c r="E688">
        <v>1833.95</v>
      </c>
      <c r="F688">
        <v>3</v>
      </c>
      <c r="G688" s="4" t="str">
        <f>_xlfn.XLOOKUP($B688,supplier_data!A:A,supplier_data!B:B)</f>
        <v>Samsung</v>
      </c>
    </row>
    <row r="689" spans="1:7" x14ac:dyDescent="0.25">
      <c r="A689" s="1">
        <v>45059</v>
      </c>
      <c r="B689" t="s">
        <v>19</v>
      </c>
      <c r="C689" t="s">
        <v>7</v>
      </c>
      <c r="D689" t="s">
        <v>11</v>
      </c>
      <c r="E689">
        <v>431.41</v>
      </c>
      <c r="F689">
        <v>11</v>
      </c>
      <c r="G689" s="4" t="str">
        <f>_xlfn.XLOOKUP($B689,supplier_data!A:A,supplier_data!B:B)</f>
        <v>HP</v>
      </c>
    </row>
    <row r="690" spans="1:7" x14ac:dyDescent="0.25">
      <c r="A690" s="1">
        <v>45286</v>
      </c>
      <c r="B690" t="s">
        <v>12</v>
      </c>
      <c r="C690" t="s">
        <v>7</v>
      </c>
      <c r="D690" t="s">
        <v>8</v>
      </c>
      <c r="E690">
        <v>443.99</v>
      </c>
      <c r="F690">
        <v>32</v>
      </c>
      <c r="G690" s="4" t="str">
        <f>_xlfn.XLOOKUP($B690,supplier_data!A:A,supplier_data!B:B)</f>
        <v>Dell</v>
      </c>
    </row>
    <row r="691" spans="1:7" x14ac:dyDescent="0.25">
      <c r="A691" s="1">
        <v>45283</v>
      </c>
      <c r="B691" t="s">
        <v>14</v>
      </c>
      <c r="C691" t="s">
        <v>7</v>
      </c>
      <c r="D691" t="s">
        <v>9</v>
      </c>
      <c r="E691">
        <v>131.47999999999999</v>
      </c>
      <c r="F691">
        <v>5</v>
      </c>
      <c r="G691" s="4" t="str">
        <f>_xlfn.XLOOKUP($B691,supplier_data!A:A,supplier_data!B:B)</f>
        <v>LG</v>
      </c>
    </row>
    <row r="692" spans="1:7" x14ac:dyDescent="0.25">
      <c r="A692" s="1">
        <v>45048</v>
      </c>
      <c r="B692" t="s">
        <v>19</v>
      </c>
      <c r="C692" t="s">
        <v>7</v>
      </c>
      <c r="D692" t="s">
        <v>11</v>
      </c>
      <c r="E692">
        <v>1039.25</v>
      </c>
      <c r="F692">
        <v>6</v>
      </c>
      <c r="G692" s="4" t="str">
        <f>_xlfn.XLOOKUP($B692,supplier_data!A:A,supplier_data!B:B)</f>
        <v>HP</v>
      </c>
    </row>
    <row r="693" spans="1:7" x14ac:dyDescent="0.25">
      <c r="A693" s="1">
        <v>45186</v>
      </c>
      <c r="B693" t="s">
        <v>6</v>
      </c>
      <c r="C693" t="s">
        <v>7</v>
      </c>
      <c r="D693" t="s">
        <v>13</v>
      </c>
      <c r="E693">
        <v>1981.27</v>
      </c>
      <c r="F693">
        <v>7</v>
      </c>
      <c r="G693" s="4" t="str">
        <f>_xlfn.XLOOKUP($B693,supplier_data!A:A,supplier_data!B:B)</f>
        <v>Canon</v>
      </c>
    </row>
    <row r="694" spans="1:7" x14ac:dyDescent="0.25">
      <c r="A694" s="1">
        <v>44937</v>
      </c>
      <c r="B694" t="s">
        <v>15</v>
      </c>
      <c r="C694" t="s">
        <v>16</v>
      </c>
      <c r="D694" t="s">
        <v>8</v>
      </c>
      <c r="E694">
        <v>116.59</v>
      </c>
      <c r="F694">
        <v>31</v>
      </c>
      <c r="G694" s="4" t="str">
        <f>_xlfn.XLOOKUP($B694,supplier_data!A:A,supplier_data!B:B)</f>
        <v>Nike</v>
      </c>
    </row>
    <row r="695" spans="1:7" x14ac:dyDescent="0.25">
      <c r="A695" s="1">
        <v>45009</v>
      </c>
      <c r="B695" t="s">
        <v>15</v>
      </c>
      <c r="C695" t="s">
        <v>16</v>
      </c>
      <c r="D695" t="s">
        <v>11</v>
      </c>
      <c r="E695">
        <v>1204.1400000000001</v>
      </c>
      <c r="F695">
        <v>46</v>
      </c>
      <c r="G695" s="4" t="str">
        <f>_xlfn.XLOOKUP($B695,supplier_data!A:A,supplier_data!B:B)</f>
        <v>Nike</v>
      </c>
    </row>
    <row r="696" spans="1:7" x14ac:dyDescent="0.25">
      <c r="A696" s="1">
        <v>45062</v>
      </c>
      <c r="B696" t="s">
        <v>20</v>
      </c>
      <c r="C696" t="s">
        <v>7</v>
      </c>
      <c r="D696" t="s">
        <v>11</v>
      </c>
      <c r="E696">
        <v>816.45</v>
      </c>
      <c r="F696">
        <v>27</v>
      </c>
      <c r="G696" s="4" t="str">
        <f>_xlfn.XLOOKUP($B696,supplier_data!A:A,supplier_data!B:B)</f>
        <v>Logitech</v>
      </c>
    </row>
    <row r="697" spans="1:7" x14ac:dyDescent="0.25">
      <c r="A697" s="1">
        <v>45174</v>
      </c>
      <c r="B697" t="s">
        <v>12</v>
      </c>
      <c r="C697" t="s">
        <v>7</v>
      </c>
      <c r="D697" t="s">
        <v>8</v>
      </c>
      <c r="E697">
        <v>1079.1300000000001</v>
      </c>
      <c r="F697">
        <v>7</v>
      </c>
      <c r="G697" s="4" t="str">
        <f>_xlfn.XLOOKUP($B697,supplier_data!A:A,supplier_data!B:B)</f>
        <v>Dell</v>
      </c>
    </row>
    <row r="698" spans="1:7" x14ac:dyDescent="0.25">
      <c r="A698" s="1">
        <v>45146</v>
      </c>
      <c r="B698" t="s">
        <v>6</v>
      </c>
      <c r="C698" t="s">
        <v>7</v>
      </c>
      <c r="D698" t="s">
        <v>11</v>
      </c>
      <c r="E698">
        <v>1552.47</v>
      </c>
      <c r="F698">
        <v>20</v>
      </c>
      <c r="G698" s="4" t="str">
        <f>_xlfn.XLOOKUP($B698,supplier_data!A:A,supplier_data!B:B)</f>
        <v>Canon</v>
      </c>
    </row>
    <row r="699" spans="1:7" x14ac:dyDescent="0.25">
      <c r="A699" s="1">
        <v>44948</v>
      </c>
      <c r="B699" t="s">
        <v>14</v>
      </c>
      <c r="C699" t="s">
        <v>7</v>
      </c>
      <c r="D699" t="s">
        <v>11</v>
      </c>
      <c r="E699">
        <v>1025.0899999999999</v>
      </c>
      <c r="F699">
        <v>50</v>
      </c>
      <c r="G699" s="4" t="str">
        <f>_xlfn.XLOOKUP($B699,supplier_data!A:A,supplier_data!B:B)</f>
        <v>LG</v>
      </c>
    </row>
    <row r="700" spans="1:7" x14ac:dyDescent="0.25">
      <c r="A700" s="1">
        <v>45033</v>
      </c>
      <c r="B700" t="s">
        <v>22</v>
      </c>
      <c r="C700" t="s">
        <v>7</v>
      </c>
      <c r="D700" t="s">
        <v>9</v>
      </c>
      <c r="E700">
        <v>1536.18</v>
      </c>
      <c r="F700">
        <v>18</v>
      </c>
      <c r="G700" s="4" t="str">
        <f>_xlfn.XLOOKUP($B700,supplier_data!A:A,supplier_data!B:B)</f>
        <v>Apple</v>
      </c>
    </row>
    <row r="701" spans="1:7" x14ac:dyDescent="0.25">
      <c r="A701" s="1">
        <v>45022</v>
      </c>
      <c r="B701" t="s">
        <v>20</v>
      </c>
      <c r="C701" t="s">
        <v>7</v>
      </c>
      <c r="D701" t="s">
        <v>8</v>
      </c>
      <c r="E701">
        <v>1210.43</v>
      </c>
      <c r="F701">
        <v>48</v>
      </c>
      <c r="G701" s="4" t="str">
        <f>_xlfn.XLOOKUP($B701,supplier_data!A:A,supplier_data!B:B)</f>
        <v>Logitech</v>
      </c>
    </row>
    <row r="702" spans="1:7" x14ac:dyDescent="0.25">
      <c r="A702" s="1">
        <v>45051</v>
      </c>
      <c r="B702" t="s">
        <v>21</v>
      </c>
      <c r="C702" t="s">
        <v>7</v>
      </c>
      <c r="D702" t="s">
        <v>9</v>
      </c>
      <c r="E702">
        <v>246.71</v>
      </c>
      <c r="F702">
        <v>12</v>
      </c>
      <c r="G702" s="4" t="str">
        <f>_xlfn.XLOOKUP($B702,supplier_data!A:A,supplier_data!B:B)</f>
        <v>Sony</v>
      </c>
    </row>
    <row r="703" spans="1:7" x14ac:dyDescent="0.25">
      <c r="A703" s="1">
        <v>45094</v>
      </c>
      <c r="B703" t="s">
        <v>20</v>
      </c>
      <c r="C703" t="s">
        <v>7</v>
      </c>
      <c r="D703" t="s">
        <v>11</v>
      </c>
      <c r="E703">
        <v>1203.2</v>
      </c>
      <c r="F703">
        <v>24</v>
      </c>
      <c r="G703" s="4" t="str">
        <f>_xlfn.XLOOKUP($B703,supplier_data!A:A,supplier_data!B:B)</f>
        <v>Logitech</v>
      </c>
    </row>
    <row r="704" spans="1:7" x14ac:dyDescent="0.25">
      <c r="A704" s="1">
        <v>45171</v>
      </c>
      <c r="B704" t="s">
        <v>14</v>
      </c>
      <c r="C704" t="s">
        <v>7</v>
      </c>
      <c r="D704" t="s">
        <v>13</v>
      </c>
      <c r="E704">
        <v>1098.51</v>
      </c>
      <c r="F704">
        <v>42</v>
      </c>
      <c r="G704" s="4" t="str">
        <f>_xlfn.XLOOKUP($B704,supplier_data!A:A,supplier_data!B:B)</f>
        <v>LG</v>
      </c>
    </row>
    <row r="705" spans="1:7" x14ac:dyDescent="0.25">
      <c r="A705" s="1">
        <v>45208</v>
      </c>
      <c r="B705" t="s">
        <v>20</v>
      </c>
      <c r="C705" t="s">
        <v>7</v>
      </c>
      <c r="D705" t="s">
        <v>11</v>
      </c>
      <c r="E705">
        <v>1765.91</v>
      </c>
      <c r="F705">
        <v>22</v>
      </c>
      <c r="G705" s="4" t="str">
        <f>_xlfn.XLOOKUP($B705,supplier_data!A:A,supplier_data!B:B)</f>
        <v>Logitech</v>
      </c>
    </row>
    <row r="706" spans="1:7" x14ac:dyDescent="0.25">
      <c r="A706" s="1">
        <v>45112</v>
      </c>
      <c r="B706" t="s">
        <v>21</v>
      </c>
      <c r="C706" t="s">
        <v>7</v>
      </c>
      <c r="D706" t="s">
        <v>9</v>
      </c>
      <c r="E706">
        <v>1216.29</v>
      </c>
      <c r="F706">
        <v>11</v>
      </c>
      <c r="G706" s="4" t="str">
        <f>_xlfn.XLOOKUP($B706,supplier_data!A:A,supplier_data!B:B)</f>
        <v>Sony</v>
      </c>
    </row>
    <row r="707" spans="1:7" x14ac:dyDescent="0.25">
      <c r="A707" s="1">
        <v>45204</v>
      </c>
      <c r="B707" t="s">
        <v>20</v>
      </c>
      <c r="C707" t="s">
        <v>7</v>
      </c>
      <c r="D707" t="s">
        <v>13</v>
      </c>
      <c r="E707">
        <v>1160.48</v>
      </c>
      <c r="F707">
        <v>27</v>
      </c>
      <c r="G707" s="4" t="str">
        <f>_xlfn.XLOOKUP($B707,supplier_data!A:A,supplier_data!B:B)</f>
        <v>Logitech</v>
      </c>
    </row>
    <row r="708" spans="1:7" x14ac:dyDescent="0.25">
      <c r="A708" s="1">
        <v>44977</v>
      </c>
      <c r="B708" t="s">
        <v>15</v>
      </c>
      <c r="C708" t="s">
        <v>16</v>
      </c>
      <c r="D708" t="s">
        <v>8</v>
      </c>
      <c r="E708">
        <v>1424.39</v>
      </c>
      <c r="F708">
        <v>36</v>
      </c>
      <c r="G708" s="4" t="str">
        <f>_xlfn.XLOOKUP($B708,supplier_data!A:A,supplier_data!B:B)</f>
        <v>Nike</v>
      </c>
    </row>
    <row r="709" spans="1:7" x14ac:dyDescent="0.25">
      <c r="A709" s="1">
        <v>45205</v>
      </c>
      <c r="B709" t="s">
        <v>15</v>
      </c>
      <c r="C709" t="s">
        <v>16</v>
      </c>
      <c r="D709" t="s">
        <v>9</v>
      </c>
      <c r="E709">
        <v>930.01</v>
      </c>
      <c r="F709">
        <v>30</v>
      </c>
      <c r="G709" s="4" t="str">
        <f>_xlfn.XLOOKUP($B709,supplier_data!A:A,supplier_data!B:B)</f>
        <v>Nike</v>
      </c>
    </row>
    <row r="710" spans="1:7" x14ac:dyDescent="0.25">
      <c r="A710" s="1">
        <v>45075</v>
      </c>
      <c r="B710" t="s">
        <v>21</v>
      </c>
      <c r="C710" t="s">
        <v>7</v>
      </c>
      <c r="D710" t="s">
        <v>9</v>
      </c>
      <c r="E710">
        <v>1218.3499999999999</v>
      </c>
      <c r="F710">
        <v>7</v>
      </c>
      <c r="G710" s="4" t="str">
        <f>_xlfn.XLOOKUP($B710,supplier_data!A:A,supplier_data!B:B)</f>
        <v>Sony</v>
      </c>
    </row>
    <row r="711" spans="1:7" x14ac:dyDescent="0.25">
      <c r="A711" s="1">
        <v>44957</v>
      </c>
      <c r="B711" t="s">
        <v>10</v>
      </c>
      <c r="C711" t="s">
        <v>7</v>
      </c>
      <c r="D711" t="s">
        <v>8</v>
      </c>
      <c r="E711">
        <v>637.08000000000004</v>
      </c>
      <c r="F711">
        <v>8</v>
      </c>
      <c r="G711" s="4" t="str">
        <f>_xlfn.XLOOKUP($B711,supplier_data!A:A,supplier_data!B:B)</f>
        <v>Samsung</v>
      </c>
    </row>
    <row r="712" spans="1:7" x14ac:dyDescent="0.25">
      <c r="A712" s="1">
        <v>45034</v>
      </c>
      <c r="B712" t="s">
        <v>10</v>
      </c>
      <c r="C712" t="s">
        <v>7</v>
      </c>
      <c r="D712" t="s">
        <v>11</v>
      </c>
      <c r="E712">
        <v>1347.44</v>
      </c>
      <c r="F712">
        <v>42</v>
      </c>
      <c r="G712" s="4" t="str">
        <f>_xlfn.XLOOKUP($B712,supplier_data!A:A,supplier_data!B:B)</f>
        <v>Samsung</v>
      </c>
    </row>
    <row r="713" spans="1:7" x14ac:dyDescent="0.25">
      <c r="A713" s="1">
        <v>45245</v>
      </c>
      <c r="B713" t="s">
        <v>15</v>
      </c>
      <c r="C713" t="s">
        <v>16</v>
      </c>
      <c r="D713" t="s">
        <v>13</v>
      </c>
      <c r="E713">
        <v>1115.49</v>
      </c>
      <c r="F713">
        <v>24</v>
      </c>
      <c r="G713" s="4" t="str">
        <f>_xlfn.XLOOKUP($B713,supplier_data!A:A,supplier_data!B:B)</f>
        <v>Nike</v>
      </c>
    </row>
    <row r="714" spans="1:7" x14ac:dyDescent="0.25">
      <c r="A714" s="1">
        <v>45291</v>
      </c>
      <c r="B714" t="s">
        <v>12</v>
      </c>
      <c r="C714" t="s">
        <v>7</v>
      </c>
      <c r="D714" t="s">
        <v>11</v>
      </c>
      <c r="E714">
        <v>1312.36</v>
      </c>
      <c r="F714">
        <v>21</v>
      </c>
      <c r="G714" s="4" t="str">
        <f>_xlfn.XLOOKUP($B714,supplier_data!A:A,supplier_data!B:B)</f>
        <v>Dell</v>
      </c>
    </row>
    <row r="715" spans="1:7" x14ac:dyDescent="0.25">
      <c r="A715" s="1">
        <v>45273</v>
      </c>
      <c r="B715" t="s">
        <v>19</v>
      </c>
      <c r="C715" t="s">
        <v>7</v>
      </c>
      <c r="D715" t="s">
        <v>8</v>
      </c>
      <c r="E715">
        <v>1110.0999999999999</v>
      </c>
      <c r="F715">
        <v>27</v>
      </c>
      <c r="G715" s="4" t="str">
        <f>_xlfn.XLOOKUP($B715,supplier_data!A:A,supplier_data!B:B)</f>
        <v>HP</v>
      </c>
    </row>
    <row r="716" spans="1:7" x14ac:dyDescent="0.25">
      <c r="A716" s="1">
        <v>45026</v>
      </c>
      <c r="B716" t="s">
        <v>6</v>
      </c>
      <c r="C716" t="s">
        <v>7</v>
      </c>
      <c r="D716" t="s">
        <v>9</v>
      </c>
      <c r="E716">
        <v>1766.77</v>
      </c>
      <c r="F716">
        <v>47</v>
      </c>
      <c r="G716" s="4" t="str">
        <f>_xlfn.XLOOKUP($B716,supplier_data!A:A,supplier_data!B:B)</f>
        <v>Canon</v>
      </c>
    </row>
    <row r="717" spans="1:7" x14ac:dyDescent="0.25">
      <c r="A717" s="1">
        <v>45275</v>
      </c>
      <c r="B717" t="s">
        <v>14</v>
      </c>
      <c r="C717" t="s">
        <v>7</v>
      </c>
      <c r="D717" t="s">
        <v>8</v>
      </c>
      <c r="E717">
        <v>1242.33</v>
      </c>
      <c r="F717">
        <v>16</v>
      </c>
      <c r="G717" s="4" t="str">
        <f>_xlfn.XLOOKUP($B717,supplier_data!A:A,supplier_data!B:B)</f>
        <v>LG</v>
      </c>
    </row>
    <row r="718" spans="1:7" x14ac:dyDescent="0.25">
      <c r="A718" s="1">
        <v>44977</v>
      </c>
      <c r="B718" t="s">
        <v>14</v>
      </c>
      <c r="C718" t="s">
        <v>7</v>
      </c>
      <c r="D718" t="s">
        <v>13</v>
      </c>
      <c r="E718">
        <v>1632.31</v>
      </c>
      <c r="F718">
        <v>12</v>
      </c>
      <c r="G718" s="4" t="str">
        <f>_xlfn.XLOOKUP($B718,supplier_data!A:A,supplier_data!B:B)</f>
        <v>LG</v>
      </c>
    </row>
    <row r="719" spans="1:7" x14ac:dyDescent="0.25">
      <c r="A719" s="1">
        <v>45249</v>
      </c>
      <c r="B719" t="s">
        <v>14</v>
      </c>
      <c r="C719" t="s">
        <v>7</v>
      </c>
      <c r="D719" t="s">
        <v>8</v>
      </c>
      <c r="E719">
        <v>373.56</v>
      </c>
      <c r="F719">
        <v>22</v>
      </c>
      <c r="G719" s="4" t="str">
        <f>_xlfn.XLOOKUP($B719,supplier_data!A:A,supplier_data!B:B)</f>
        <v>LG</v>
      </c>
    </row>
    <row r="720" spans="1:7" x14ac:dyDescent="0.25">
      <c r="A720" s="1">
        <v>45231</v>
      </c>
      <c r="B720" t="s">
        <v>14</v>
      </c>
      <c r="C720" t="s">
        <v>7</v>
      </c>
      <c r="D720" t="s">
        <v>11</v>
      </c>
      <c r="E720">
        <v>301.04000000000002</v>
      </c>
      <c r="F720">
        <v>19</v>
      </c>
      <c r="G720" s="4" t="str">
        <f>_xlfn.XLOOKUP($B720,supplier_data!A:A,supplier_data!B:B)</f>
        <v>LG</v>
      </c>
    </row>
    <row r="721" spans="1:7" x14ac:dyDescent="0.25">
      <c r="A721" s="1">
        <v>45122</v>
      </c>
      <c r="B721" t="s">
        <v>14</v>
      </c>
      <c r="C721" t="s">
        <v>7</v>
      </c>
      <c r="D721" t="s">
        <v>8</v>
      </c>
      <c r="E721">
        <v>525.91</v>
      </c>
      <c r="F721">
        <v>37</v>
      </c>
      <c r="G721" s="4" t="str">
        <f>_xlfn.XLOOKUP($B721,supplier_data!A:A,supplier_data!B:B)</f>
        <v>LG</v>
      </c>
    </row>
    <row r="722" spans="1:7" x14ac:dyDescent="0.25">
      <c r="A722" s="1">
        <v>45152</v>
      </c>
      <c r="B722" t="s">
        <v>14</v>
      </c>
      <c r="C722" t="s">
        <v>7</v>
      </c>
      <c r="D722" t="s">
        <v>8</v>
      </c>
      <c r="E722">
        <v>1520.52</v>
      </c>
      <c r="F722">
        <v>14</v>
      </c>
      <c r="G722" s="4" t="str">
        <f>_xlfn.XLOOKUP($B722,supplier_data!A:A,supplier_data!B:B)</f>
        <v>LG</v>
      </c>
    </row>
    <row r="723" spans="1:7" x14ac:dyDescent="0.25">
      <c r="A723" s="1">
        <v>45146</v>
      </c>
      <c r="B723" t="s">
        <v>19</v>
      </c>
      <c r="C723" t="s">
        <v>7</v>
      </c>
      <c r="D723" t="s">
        <v>8</v>
      </c>
      <c r="E723">
        <v>1641.34</v>
      </c>
      <c r="F723">
        <v>32</v>
      </c>
      <c r="G723" s="4" t="str">
        <f>_xlfn.XLOOKUP($B723,supplier_data!A:A,supplier_data!B:B)</f>
        <v>HP</v>
      </c>
    </row>
    <row r="724" spans="1:7" x14ac:dyDescent="0.25">
      <c r="A724" s="1">
        <v>44983</v>
      </c>
      <c r="B724" t="s">
        <v>19</v>
      </c>
      <c r="C724" t="s">
        <v>7</v>
      </c>
      <c r="D724" t="s">
        <v>13</v>
      </c>
      <c r="E724">
        <v>1536.82</v>
      </c>
      <c r="F724">
        <v>8</v>
      </c>
      <c r="G724" s="4" t="str">
        <f>_xlfn.XLOOKUP($B724,supplier_data!A:A,supplier_data!B:B)</f>
        <v>HP</v>
      </c>
    </row>
    <row r="725" spans="1:7" x14ac:dyDescent="0.25">
      <c r="A725" s="1">
        <v>44980</v>
      </c>
      <c r="B725" t="s">
        <v>19</v>
      </c>
      <c r="C725" t="s">
        <v>7</v>
      </c>
      <c r="D725" t="s">
        <v>11</v>
      </c>
      <c r="E725">
        <v>1868.92</v>
      </c>
      <c r="F725">
        <v>41</v>
      </c>
      <c r="G725" s="4" t="str">
        <f>_xlfn.XLOOKUP($B725,supplier_data!A:A,supplier_data!B:B)</f>
        <v>HP</v>
      </c>
    </row>
    <row r="726" spans="1:7" x14ac:dyDescent="0.25">
      <c r="A726" s="1">
        <v>45141</v>
      </c>
      <c r="B726" t="s">
        <v>20</v>
      </c>
      <c r="C726" t="s">
        <v>7</v>
      </c>
      <c r="D726" t="s">
        <v>11</v>
      </c>
      <c r="E726">
        <v>924.96</v>
      </c>
      <c r="F726">
        <v>21</v>
      </c>
      <c r="G726" s="4" t="str">
        <f>_xlfn.XLOOKUP($B726,supplier_data!A:A,supplier_data!B:B)</f>
        <v>Logitech</v>
      </c>
    </row>
    <row r="727" spans="1:7" x14ac:dyDescent="0.25">
      <c r="A727" s="1">
        <v>45141</v>
      </c>
      <c r="B727" t="s">
        <v>19</v>
      </c>
      <c r="C727" t="s">
        <v>7</v>
      </c>
      <c r="D727" t="s">
        <v>8</v>
      </c>
      <c r="E727">
        <v>735.25</v>
      </c>
      <c r="F727">
        <v>31</v>
      </c>
      <c r="G727" s="4" t="str">
        <f>_xlfn.XLOOKUP($B727,supplier_data!A:A,supplier_data!B:B)</f>
        <v>HP</v>
      </c>
    </row>
    <row r="728" spans="1:7" x14ac:dyDescent="0.25">
      <c r="A728" s="1">
        <v>45031</v>
      </c>
      <c r="B728" t="s">
        <v>22</v>
      </c>
      <c r="C728" t="s">
        <v>7</v>
      </c>
      <c r="D728" t="s">
        <v>13</v>
      </c>
      <c r="E728">
        <v>516.9</v>
      </c>
      <c r="F728">
        <v>38</v>
      </c>
      <c r="G728" s="4" t="str">
        <f>_xlfn.XLOOKUP($B728,supplier_data!A:A,supplier_data!B:B)</f>
        <v>Apple</v>
      </c>
    </row>
    <row r="729" spans="1:7" x14ac:dyDescent="0.25">
      <c r="A729" s="1">
        <v>45171</v>
      </c>
      <c r="B729" t="s">
        <v>15</v>
      </c>
      <c r="C729" t="s">
        <v>16</v>
      </c>
      <c r="D729" t="s">
        <v>11</v>
      </c>
      <c r="E729">
        <v>309.16000000000003</v>
      </c>
      <c r="F729">
        <v>34</v>
      </c>
      <c r="G729" s="4" t="str">
        <f>_xlfn.XLOOKUP($B729,supplier_data!A:A,supplier_data!B:B)</f>
        <v>Nike</v>
      </c>
    </row>
    <row r="730" spans="1:7" x14ac:dyDescent="0.25">
      <c r="A730" s="1">
        <v>45163</v>
      </c>
      <c r="B730" t="s">
        <v>6</v>
      </c>
      <c r="C730" t="s">
        <v>7</v>
      </c>
      <c r="D730" t="s">
        <v>9</v>
      </c>
      <c r="E730">
        <v>1088.45</v>
      </c>
      <c r="F730">
        <v>19</v>
      </c>
      <c r="G730" s="4" t="str">
        <f>_xlfn.XLOOKUP($B730,supplier_data!A:A,supplier_data!B:B)</f>
        <v>Canon</v>
      </c>
    </row>
    <row r="731" spans="1:7" x14ac:dyDescent="0.25">
      <c r="A731" s="1">
        <v>45270</v>
      </c>
      <c r="B731" t="s">
        <v>6</v>
      </c>
      <c r="C731" t="s">
        <v>7</v>
      </c>
      <c r="D731" t="s">
        <v>11</v>
      </c>
      <c r="E731">
        <v>364.36</v>
      </c>
      <c r="F731">
        <v>24</v>
      </c>
      <c r="G731" s="4" t="str">
        <f>_xlfn.XLOOKUP($B731,supplier_data!A:A,supplier_data!B:B)</f>
        <v>Canon</v>
      </c>
    </row>
    <row r="732" spans="1:7" x14ac:dyDescent="0.25">
      <c r="A732" s="1">
        <v>45248</v>
      </c>
      <c r="B732" t="s">
        <v>14</v>
      </c>
      <c r="C732" t="s">
        <v>7</v>
      </c>
      <c r="D732" t="s">
        <v>9</v>
      </c>
      <c r="E732">
        <v>746.7</v>
      </c>
      <c r="F732">
        <v>3</v>
      </c>
      <c r="G732" s="4" t="str">
        <f>_xlfn.XLOOKUP($B732,supplier_data!A:A,supplier_data!B:B)</f>
        <v>LG</v>
      </c>
    </row>
    <row r="733" spans="1:7" x14ac:dyDescent="0.25">
      <c r="A733" s="1">
        <v>45076</v>
      </c>
      <c r="B733" t="s">
        <v>15</v>
      </c>
      <c r="C733" t="s">
        <v>16</v>
      </c>
      <c r="D733" t="s">
        <v>9</v>
      </c>
      <c r="E733">
        <v>577.49</v>
      </c>
      <c r="F733">
        <v>47</v>
      </c>
      <c r="G733" s="4" t="str">
        <f>_xlfn.XLOOKUP($B733,supplier_data!A:A,supplier_data!B:B)</f>
        <v>Nike</v>
      </c>
    </row>
    <row r="734" spans="1:7" x14ac:dyDescent="0.25">
      <c r="A734" s="1">
        <v>45057</v>
      </c>
      <c r="B734" t="s">
        <v>15</v>
      </c>
      <c r="C734" t="s">
        <v>16</v>
      </c>
      <c r="D734" t="s">
        <v>13</v>
      </c>
      <c r="E734">
        <v>538.88</v>
      </c>
      <c r="F734">
        <v>31</v>
      </c>
      <c r="G734" s="4" t="str">
        <f>_xlfn.XLOOKUP($B734,supplier_data!A:A,supplier_data!B:B)</f>
        <v>Nike</v>
      </c>
    </row>
    <row r="735" spans="1:7" x14ac:dyDescent="0.25">
      <c r="A735" s="1">
        <v>45126</v>
      </c>
      <c r="B735" t="s">
        <v>22</v>
      </c>
      <c r="C735" t="s">
        <v>7</v>
      </c>
      <c r="D735" t="s">
        <v>9</v>
      </c>
      <c r="E735">
        <v>1096.67</v>
      </c>
      <c r="F735">
        <v>12</v>
      </c>
      <c r="G735" s="4" t="str">
        <f>_xlfn.XLOOKUP($B735,supplier_data!A:A,supplier_data!B:B)</f>
        <v>Apple</v>
      </c>
    </row>
    <row r="736" spans="1:7" x14ac:dyDescent="0.25">
      <c r="A736" s="1">
        <v>44958</v>
      </c>
      <c r="B736" t="s">
        <v>6</v>
      </c>
      <c r="C736" t="s">
        <v>7</v>
      </c>
      <c r="D736" t="s">
        <v>13</v>
      </c>
      <c r="E736">
        <v>197.91</v>
      </c>
      <c r="F736">
        <v>49</v>
      </c>
      <c r="G736" s="4" t="str">
        <f>_xlfn.XLOOKUP($B736,supplier_data!A:A,supplier_data!B:B)</f>
        <v>Canon</v>
      </c>
    </row>
    <row r="737" spans="1:7" x14ac:dyDescent="0.25">
      <c r="A737" s="1">
        <v>44982</v>
      </c>
      <c r="B737" t="s">
        <v>17</v>
      </c>
      <c r="C737" t="s">
        <v>18</v>
      </c>
      <c r="D737" t="s">
        <v>9</v>
      </c>
      <c r="E737">
        <v>1621.51</v>
      </c>
      <c r="F737">
        <v>11</v>
      </c>
      <c r="G737" s="4" t="str">
        <f>_xlfn.XLOOKUP($B737,supplier_data!A:A,supplier_data!B:B)</f>
        <v>Fossil</v>
      </c>
    </row>
    <row r="738" spans="1:7" x14ac:dyDescent="0.25">
      <c r="A738" s="1">
        <v>45203</v>
      </c>
      <c r="B738" t="s">
        <v>21</v>
      </c>
      <c r="C738" t="s">
        <v>7</v>
      </c>
      <c r="D738" t="s">
        <v>9</v>
      </c>
      <c r="E738">
        <v>150.72999999999999</v>
      </c>
      <c r="F738">
        <v>27</v>
      </c>
      <c r="G738" s="4" t="str">
        <f>_xlfn.XLOOKUP($B738,supplier_data!A:A,supplier_data!B:B)</f>
        <v>Sony</v>
      </c>
    </row>
    <row r="739" spans="1:7" x14ac:dyDescent="0.25">
      <c r="A739" s="1">
        <v>45010</v>
      </c>
      <c r="B739" t="s">
        <v>17</v>
      </c>
      <c r="C739" t="s">
        <v>18</v>
      </c>
      <c r="D739" t="s">
        <v>11</v>
      </c>
      <c r="E739">
        <v>871.08</v>
      </c>
      <c r="F739">
        <v>15</v>
      </c>
      <c r="G739" s="4" t="str">
        <f>_xlfn.XLOOKUP($B739,supplier_data!A:A,supplier_data!B:B)</f>
        <v>Fossil</v>
      </c>
    </row>
    <row r="740" spans="1:7" x14ac:dyDescent="0.25">
      <c r="A740" s="1">
        <v>45292</v>
      </c>
      <c r="B740" t="s">
        <v>15</v>
      </c>
      <c r="C740" t="s">
        <v>16</v>
      </c>
      <c r="D740" t="s">
        <v>8</v>
      </c>
      <c r="E740">
        <v>1859.45</v>
      </c>
      <c r="F740">
        <v>45</v>
      </c>
      <c r="G740" s="4" t="str">
        <f>_xlfn.XLOOKUP($B740,supplier_data!A:A,supplier_data!B:B)</f>
        <v>Nike</v>
      </c>
    </row>
    <row r="741" spans="1:7" x14ac:dyDescent="0.25">
      <c r="A741" s="1">
        <v>45116</v>
      </c>
      <c r="B741" t="s">
        <v>17</v>
      </c>
      <c r="C741" t="s">
        <v>18</v>
      </c>
      <c r="D741" t="s">
        <v>9</v>
      </c>
      <c r="E741">
        <v>1199.77</v>
      </c>
      <c r="F741">
        <v>29</v>
      </c>
      <c r="G741" s="4" t="str">
        <f>_xlfn.XLOOKUP($B741,supplier_data!A:A,supplier_data!B:B)</f>
        <v>Fossil</v>
      </c>
    </row>
    <row r="742" spans="1:7" x14ac:dyDescent="0.25">
      <c r="A742" s="1">
        <v>44988</v>
      </c>
      <c r="B742" t="s">
        <v>6</v>
      </c>
      <c r="C742" t="s">
        <v>7</v>
      </c>
      <c r="D742" t="s">
        <v>9</v>
      </c>
      <c r="E742">
        <v>334.72</v>
      </c>
      <c r="F742">
        <v>42</v>
      </c>
      <c r="G742" s="4" t="str">
        <f>_xlfn.XLOOKUP($B742,supplier_data!A:A,supplier_data!B:B)</f>
        <v>Canon</v>
      </c>
    </row>
    <row r="743" spans="1:7" x14ac:dyDescent="0.25">
      <c r="A743" s="1">
        <v>45283</v>
      </c>
      <c r="B743" t="s">
        <v>12</v>
      </c>
      <c r="C743" t="s">
        <v>7</v>
      </c>
      <c r="D743" t="s">
        <v>9</v>
      </c>
      <c r="E743">
        <v>1447.92</v>
      </c>
      <c r="F743">
        <v>41</v>
      </c>
      <c r="G743" s="4" t="str">
        <f>_xlfn.XLOOKUP($B743,supplier_data!A:A,supplier_data!B:B)</f>
        <v>Dell</v>
      </c>
    </row>
    <row r="744" spans="1:7" x14ac:dyDescent="0.25">
      <c r="A744" s="1">
        <v>45108</v>
      </c>
      <c r="B744" t="s">
        <v>14</v>
      </c>
      <c r="C744" t="s">
        <v>7</v>
      </c>
      <c r="D744" t="s">
        <v>13</v>
      </c>
      <c r="E744">
        <v>1097.3</v>
      </c>
      <c r="F744">
        <v>17</v>
      </c>
      <c r="G744" s="4" t="str">
        <f>_xlfn.XLOOKUP($B744,supplier_data!A:A,supplier_data!B:B)</f>
        <v>LG</v>
      </c>
    </row>
    <row r="745" spans="1:7" x14ac:dyDescent="0.25">
      <c r="A745" s="1">
        <v>45014</v>
      </c>
      <c r="B745" t="s">
        <v>12</v>
      </c>
      <c r="C745" t="s">
        <v>7</v>
      </c>
      <c r="D745" t="s">
        <v>11</v>
      </c>
      <c r="E745">
        <v>1970.73</v>
      </c>
      <c r="F745">
        <v>41</v>
      </c>
      <c r="G745" s="4" t="str">
        <f>_xlfn.XLOOKUP($B745,supplier_data!A:A,supplier_data!B:B)</f>
        <v>Dell</v>
      </c>
    </row>
    <row r="746" spans="1:7" x14ac:dyDescent="0.25">
      <c r="A746" s="1">
        <v>45185</v>
      </c>
      <c r="B746" t="s">
        <v>20</v>
      </c>
      <c r="C746" t="s">
        <v>7</v>
      </c>
      <c r="D746" t="s">
        <v>11</v>
      </c>
      <c r="E746">
        <v>1158.06</v>
      </c>
      <c r="F746">
        <v>49</v>
      </c>
      <c r="G746" s="4" t="str">
        <f>_xlfn.XLOOKUP($B746,supplier_data!A:A,supplier_data!B:B)</f>
        <v>Logitech</v>
      </c>
    </row>
    <row r="747" spans="1:7" x14ac:dyDescent="0.25">
      <c r="A747" s="1">
        <v>45214</v>
      </c>
      <c r="B747" t="s">
        <v>6</v>
      </c>
      <c r="C747" t="s">
        <v>7</v>
      </c>
      <c r="D747" t="s">
        <v>11</v>
      </c>
      <c r="E747">
        <v>693.81</v>
      </c>
      <c r="F747">
        <v>5</v>
      </c>
      <c r="G747" s="4" t="str">
        <f>_xlfn.XLOOKUP($B747,supplier_data!A:A,supplier_data!B:B)</f>
        <v>Canon</v>
      </c>
    </row>
    <row r="748" spans="1:7" x14ac:dyDescent="0.25">
      <c r="A748" s="1">
        <v>45288</v>
      </c>
      <c r="B748" t="s">
        <v>20</v>
      </c>
      <c r="C748" t="s">
        <v>7</v>
      </c>
      <c r="D748" t="s">
        <v>8</v>
      </c>
      <c r="E748">
        <v>1250.74</v>
      </c>
      <c r="F748">
        <v>44</v>
      </c>
      <c r="G748" s="4" t="str">
        <f>_xlfn.XLOOKUP($B748,supplier_data!A:A,supplier_data!B:B)</f>
        <v>Logitech</v>
      </c>
    </row>
    <row r="749" spans="1:7" x14ac:dyDescent="0.25">
      <c r="A749" s="1">
        <v>45160</v>
      </c>
      <c r="B749" t="s">
        <v>17</v>
      </c>
      <c r="C749" t="s">
        <v>18</v>
      </c>
      <c r="D749" t="s">
        <v>8</v>
      </c>
      <c r="E749">
        <v>115.4</v>
      </c>
      <c r="F749">
        <v>44</v>
      </c>
      <c r="G749" s="4" t="str">
        <f>_xlfn.XLOOKUP($B749,supplier_data!A:A,supplier_data!B:B)</f>
        <v>Fossil</v>
      </c>
    </row>
    <row r="750" spans="1:7" x14ac:dyDescent="0.25">
      <c r="A750" s="1">
        <v>45076</v>
      </c>
      <c r="B750" t="s">
        <v>17</v>
      </c>
      <c r="C750" t="s">
        <v>18</v>
      </c>
      <c r="D750" t="s">
        <v>13</v>
      </c>
      <c r="E750">
        <v>303.48</v>
      </c>
      <c r="F750">
        <v>12</v>
      </c>
      <c r="G750" s="4" t="str">
        <f>_xlfn.XLOOKUP($B750,supplier_data!A:A,supplier_data!B:B)</f>
        <v>Fossil</v>
      </c>
    </row>
    <row r="751" spans="1:7" x14ac:dyDescent="0.25">
      <c r="A751" s="1">
        <v>45105</v>
      </c>
      <c r="B751" t="s">
        <v>10</v>
      </c>
      <c r="C751" t="s">
        <v>7</v>
      </c>
      <c r="D751" t="s">
        <v>11</v>
      </c>
      <c r="E751">
        <v>1258.32</v>
      </c>
      <c r="F751">
        <v>19</v>
      </c>
      <c r="G751" s="4" t="str">
        <f>_xlfn.XLOOKUP($B751,supplier_data!A:A,supplier_data!B:B)</f>
        <v>Samsung</v>
      </c>
    </row>
    <row r="752" spans="1:7" x14ac:dyDescent="0.25">
      <c r="A752" s="1">
        <v>45142</v>
      </c>
      <c r="B752" t="s">
        <v>22</v>
      </c>
      <c r="C752" t="s">
        <v>7</v>
      </c>
      <c r="D752" t="s">
        <v>11</v>
      </c>
      <c r="E752">
        <v>779.15</v>
      </c>
      <c r="F752">
        <v>20</v>
      </c>
      <c r="G752" s="4" t="str">
        <f>_xlfn.XLOOKUP($B752,supplier_data!A:A,supplier_data!B:B)</f>
        <v>Apple</v>
      </c>
    </row>
    <row r="753" spans="1:7" x14ac:dyDescent="0.25">
      <c r="A753" s="1">
        <v>45036</v>
      </c>
      <c r="B753" t="s">
        <v>21</v>
      </c>
      <c r="C753" t="s">
        <v>7</v>
      </c>
      <c r="D753" t="s">
        <v>11</v>
      </c>
      <c r="E753">
        <v>1923.65</v>
      </c>
      <c r="F753">
        <v>22</v>
      </c>
      <c r="G753" s="4" t="str">
        <f>_xlfn.XLOOKUP($B753,supplier_data!A:A,supplier_data!B:B)</f>
        <v>Sony</v>
      </c>
    </row>
    <row r="754" spans="1:7" x14ac:dyDescent="0.25">
      <c r="A754" s="1">
        <v>45200</v>
      </c>
      <c r="B754" t="s">
        <v>20</v>
      </c>
      <c r="C754" t="s">
        <v>7</v>
      </c>
      <c r="D754" t="s">
        <v>13</v>
      </c>
      <c r="E754">
        <v>687.94</v>
      </c>
      <c r="F754">
        <v>41</v>
      </c>
      <c r="G754" s="4" t="str">
        <f>_xlfn.XLOOKUP($B754,supplier_data!A:A,supplier_data!B:B)</f>
        <v>Logitech</v>
      </c>
    </row>
    <row r="755" spans="1:7" x14ac:dyDescent="0.25">
      <c r="A755" s="1">
        <v>45044</v>
      </c>
      <c r="B755" t="s">
        <v>19</v>
      </c>
      <c r="C755" t="s">
        <v>7</v>
      </c>
      <c r="D755" t="s">
        <v>13</v>
      </c>
      <c r="E755">
        <v>966.31</v>
      </c>
      <c r="F755">
        <v>36</v>
      </c>
      <c r="G755" s="4" t="str">
        <f>_xlfn.XLOOKUP($B755,supplier_data!A:A,supplier_data!B:B)</f>
        <v>HP</v>
      </c>
    </row>
    <row r="756" spans="1:7" x14ac:dyDescent="0.25">
      <c r="A756" s="1">
        <v>44959</v>
      </c>
      <c r="B756" t="s">
        <v>20</v>
      </c>
      <c r="C756" t="s">
        <v>7</v>
      </c>
      <c r="D756" t="s">
        <v>9</v>
      </c>
      <c r="E756">
        <v>1148.4100000000001</v>
      </c>
      <c r="F756">
        <v>22</v>
      </c>
      <c r="G756" s="4" t="str">
        <f>_xlfn.XLOOKUP($B756,supplier_data!A:A,supplier_data!B:B)</f>
        <v>Logitech</v>
      </c>
    </row>
    <row r="757" spans="1:7" x14ac:dyDescent="0.25">
      <c r="A757" s="1">
        <v>45231</v>
      </c>
      <c r="B757" t="s">
        <v>6</v>
      </c>
      <c r="C757" t="s">
        <v>7</v>
      </c>
      <c r="D757" t="s">
        <v>9</v>
      </c>
      <c r="E757">
        <v>398.39</v>
      </c>
      <c r="F757">
        <v>44</v>
      </c>
      <c r="G757" s="4" t="str">
        <f>_xlfn.XLOOKUP($B757,supplier_data!A:A,supplier_data!B:B)</f>
        <v>Canon</v>
      </c>
    </row>
    <row r="758" spans="1:7" x14ac:dyDescent="0.25">
      <c r="A758" s="1">
        <v>44942</v>
      </c>
      <c r="B758" t="s">
        <v>17</v>
      </c>
      <c r="C758" t="s">
        <v>18</v>
      </c>
      <c r="D758" t="s">
        <v>8</v>
      </c>
      <c r="E758">
        <v>438.28</v>
      </c>
      <c r="F758">
        <v>17</v>
      </c>
      <c r="G758" s="4" t="str">
        <f>_xlfn.XLOOKUP($B758,supplier_data!A:A,supplier_data!B:B)</f>
        <v>Fossil</v>
      </c>
    </row>
    <row r="759" spans="1:7" x14ac:dyDescent="0.25">
      <c r="A759" s="1">
        <v>45124</v>
      </c>
      <c r="B759" t="s">
        <v>20</v>
      </c>
      <c r="C759" t="s">
        <v>7</v>
      </c>
      <c r="D759" t="s">
        <v>11</v>
      </c>
      <c r="E759">
        <v>371.68</v>
      </c>
      <c r="F759">
        <v>24</v>
      </c>
      <c r="G759" s="4" t="str">
        <f>_xlfn.XLOOKUP($B759,supplier_data!A:A,supplier_data!B:B)</f>
        <v>Logitech</v>
      </c>
    </row>
    <row r="760" spans="1:7" x14ac:dyDescent="0.25">
      <c r="A760" s="1">
        <v>45049</v>
      </c>
      <c r="B760" t="s">
        <v>14</v>
      </c>
      <c r="C760" t="s">
        <v>7</v>
      </c>
      <c r="D760" t="s">
        <v>8</v>
      </c>
      <c r="E760">
        <v>1948.71</v>
      </c>
      <c r="F760">
        <v>14</v>
      </c>
      <c r="G760" s="4" t="str">
        <f>_xlfn.XLOOKUP($B760,supplier_data!A:A,supplier_data!B:B)</f>
        <v>LG</v>
      </c>
    </row>
    <row r="761" spans="1:7" x14ac:dyDescent="0.25">
      <c r="A761" s="1">
        <v>45113</v>
      </c>
      <c r="B761" t="s">
        <v>19</v>
      </c>
      <c r="C761" t="s">
        <v>7</v>
      </c>
      <c r="D761" t="s">
        <v>11</v>
      </c>
      <c r="E761">
        <v>895.22</v>
      </c>
      <c r="F761">
        <v>41</v>
      </c>
      <c r="G761" s="4" t="str">
        <f>_xlfn.XLOOKUP($B761,supplier_data!A:A,supplier_data!B:B)</f>
        <v>HP</v>
      </c>
    </row>
    <row r="762" spans="1:7" x14ac:dyDescent="0.25">
      <c r="A762" s="1">
        <v>45036</v>
      </c>
      <c r="B762" t="s">
        <v>21</v>
      </c>
      <c r="C762" t="s">
        <v>7</v>
      </c>
      <c r="D762" t="s">
        <v>13</v>
      </c>
      <c r="E762">
        <v>475.82</v>
      </c>
      <c r="F762">
        <v>23</v>
      </c>
      <c r="G762" s="4" t="str">
        <f>_xlfn.XLOOKUP($B762,supplier_data!A:A,supplier_data!B:B)</f>
        <v>Sony</v>
      </c>
    </row>
    <row r="763" spans="1:7" x14ac:dyDescent="0.25">
      <c r="A763" s="1">
        <v>45157</v>
      </c>
      <c r="B763" t="s">
        <v>10</v>
      </c>
      <c r="C763" t="s">
        <v>7</v>
      </c>
      <c r="D763" t="s">
        <v>11</v>
      </c>
      <c r="E763">
        <v>236.58</v>
      </c>
      <c r="F763">
        <v>32</v>
      </c>
      <c r="G763" s="4" t="str">
        <f>_xlfn.XLOOKUP($B763,supplier_data!A:A,supplier_data!B:B)</f>
        <v>Samsung</v>
      </c>
    </row>
    <row r="764" spans="1:7" x14ac:dyDescent="0.25">
      <c r="A764" s="1">
        <v>45228</v>
      </c>
      <c r="B764" t="s">
        <v>14</v>
      </c>
      <c r="C764" t="s">
        <v>7</v>
      </c>
      <c r="D764" t="s">
        <v>11</v>
      </c>
      <c r="E764">
        <v>536.48</v>
      </c>
      <c r="F764">
        <v>39</v>
      </c>
      <c r="G764" s="4" t="str">
        <f>_xlfn.XLOOKUP($B764,supplier_data!A:A,supplier_data!B:B)</f>
        <v>LG</v>
      </c>
    </row>
    <row r="765" spans="1:7" x14ac:dyDescent="0.25">
      <c r="A765" s="1">
        <v>45020</v>
      </c>
      <c r="B765" t="s">
        <v>6</v>
      </c>
      <c r="C765" t="s">
        <v>7</v>
      </c>
      <c r="D765" t="s">
        <v>11</v>
      </c>
      <c r="E765">
        <v>395.19</v>
      </c>
      <c r="F765">
        <v>21</v>
      </c>
      <c r="G765" s="4" t="str">
        <f>_xlfn.XLOOKUP($B765,supplier_data!A:A,supplier_data!B:B)</f>
        <v>Canon</v>
      </c>
    </row>
    <row r="766" spans="1:7" x14ac:dyDescent="0.25">
      <c r="A766" s="1">
        <v>45132</v>
      </c>
      <c r="B766" t="s">
        <v>12</v>
      </c>
      <c r="C766" t="s">
        <v>7</v>
      </c>
      <c r="D766" t="s">
        <v>9</v>
      </c>
      <c r="E766">
        <v>756</v>
      </c>
      <c r="F766">
        <v>33</v>
      </c>
      <c r="G766" s="4" t="str">
        <f>_xlfn.XLOOKUP($B766,supplier_data!A:A,supplier_data!B:B)</f>
        <v>Dell</v>
      </c>
    </row>
    <row r="767" spans="1:7" x14ac:dyDescent="0.25">
      <c r="A767" s="1">
        <v>45217</v>
      </c>
      <c r="B767" t="s">
        <v>22</v>
      </c>
      <c r="C767" t="s">
        <v>7</v>
      </c>
      <c r="D767" t="s">
        <v>8</v>
      </c>
      <c r="E767">
        <v>642.16</v>
      </c>
      <c r="F767">
        <v>23</v>
      </c>
      <c r="G767" s="4" t="str">
        <f>_xlfn.XLOOKUP($B767,supplier_data!A:A,supplier_data!B:B)</f>
        <v>Apple</v>
      </c>
    </row>
    <row r="768" spans="1:7" x14ac:dyDescent="0.25">
      <c r="A768" s="1">
        <v>45204</v>
      </c>
      <c r="B768" t="s">
        <v>6</v>
      </c>
      <c r="C768" t="s">
        <v>7</v>
      </c>
      <c r="D768" t="s">
        <v>11</v>
      </c>
      <c r="E768">
        <v>1069.6600000000001</v>
      </c>
      <c r="F768">
        <v>30</v>
      </c>
      <c r="G768" s="4" t="str">
        <f>_xlfn.XLOOKUP($B768,supplier_data!A:A,supplier_data!B:B)</f>
        <v>Canon</v>
      </c>
    </row>
    <row r="769" spans="1:7" x14ac:dyDescent="0.25">
      <c r="A769" s="1">
        <v>45228</v>
      </c>
      <c r="B769" t="s">
        <v>17</v>
      </c>
      <c r="C769" t="s">
        <v>18</v>
      </c>
      <c r="D769" t="s">
        <v>11</v>
      </c>
      <c r="E769">
        <v>1960.55</v>
      </c>
      <c r="F769">
        <v>36</v>
      </c>
      <c r="G769" s="4" t="str">
        <f>_xlfn.XLOOKUP($B769,supplier_data!A:A,supplier_data!B:B)</f>
        <v>Fossil</v>
      </c>
    </row>
    <row r="770" spans="1:7" x14ac:dyDescent="0.25">
      <c r="A770" s="1">
        <v>44982</v>
      </c>
      <c r="B770" t="s">
        <v>17</v>
      </c>
      <c r="C770" t="s">
        <v>18</v>
      </c>
      <c r="D770" t="s">
        <v>8</v>
      </c>
      <c r="E770">
        <v>219.06</v>
      </c>
      <c r="F770">
        <v>19</v>
      </c>
      <c r="G770" s="4" t="str">
        <f>_xlfn.XLOOKUP($B770,supplier_data!A:A,supplier_data!B:B)</f>
        <v>Fossil</v>
      </c>
    </row>
    <row r="771" spans="1:7" x14ac:dyDescent="0.25">
      <c r="A771" s="1">
        <v>45040</v>
      </c>
      <c r="B771" t="s">
        <v>21</v>
      </c>
      <c r="C771" t="s">
        <v>7</v>
      </c>
      <c r="D771" t="s">
        <v>11</v>
      </c>
      <c r="E771">
        <v>1678.04</v>
      </c>
      <c r="F771">
        <v>27</v>
      </c>
      <c r="G771" s="4" t="str">
        <f>_xlfn.XLOOKUP($B771,supplier_data!A:A,supplier_data!B:B)</f>
        <v>Sony</v>
      </c>
    </row>
    <row r="772" spans="1:7" x14ac:dyDescent="0.25">
      <c r="A772" s="1">
        <v>45263</v>
      </c>
      <c r="B772" t="s">
        <v>20</v>
      </c>
      <c r="C772" t="s">
        <v>7</v>
      </c>
      <c r="D772" t="s">
        <v>11</v>
      </c>
      <c r="E772">
        <v>950.28</v>
      </c>
      <c r="F772">
        <v>1</v>
      </c>
      <c r="G772" s="4" t="str">
        <f>_xlfn.XLOOKUP($B772,supplier_data!A:A,supplier_data!B:B)</f>
        <v>Logitech</v>
      </c>
    </row>
    <row r="773" spans="1:7" x14ac:dyDescent="0.25">
      <c r="A773" s="1">
        <v>44936</v>
      </c>
      <c r="B773" t="s">
        <v>12</v>
      </c>
      <c r="C773" t="s">
        <v>7</v>
      </c>
      <c r="D773" t="s">
        <v>9</v>
      </c>
      <c r="E773">
        <v>1370.61</v>
      </c>
      <c r="F773">
        <v>39</v>
      </c>
      <c r="G773" s="4" t="str">
        <f>_xlfn.XLOOKUP($B773,supplier_data!A:A,supplier_data!B:B)</f>
        <v>Dell</v>
      </c>
    </row>
    <row r="774" spans="1:7" x14ac:dyDescent="0.25">
      <c r="A774" s="1">
        <v>45143</v>
      </c>
      <c r="B774" t="s">
        <v>17</v>
      </c>
      <c r="C774" t="s">
        <v>18</v>
      </c>
      <c r="D774" t="s">
        <v>11</v>
      </c>
      <c r="E774">
        <v>655.07000000000005</v>
      </c>
      <c r="F774">
        <v>17</v>
      </c>
      <c r="G774" s="4" t="str">
        <f>_xlfn.XLOOKUP($B774,supplier_data!A:A,supplier_data!B:B)</f>
        <v>Fossil</v>
      </c>
    </row>
    <row r="775" spans="1:7" x14ac:dyDescent="0.25">
      <c r="A775" s="1">
        <v>44941</v>
      </c>
      <c r="B775" t="s">
        <v>20</v>
      </c>
      <c r="C775" t="s">
        <v>7</v>
      </c>
      <c r="D775" t="s">
        <v>13</v>
      </c>
      <c r="E775">
        <v>349.79</v>
      </c>
      <c r="F775">
        <v>2</v>
      </c>
      <c r="G775" s="4" t="str">
        <f>_xlfn.XLOOKUP($B775,supplier_data!A:A,supplier_data!B:B)</f>
        <v>Logitech</v>
      </c>
    </row>
    <row r="776" spans="1:7" x14ac:dyDescent="0.25">
      <c r="A776" s="1">
        <v>44970</v>
      </c>
      <c r="B776" t="s">
        <v>12</v>
      </c>
      <c r="C776" t="s">
        <v>7</v>
      </c>
      <c r="D776" t="s">
        <v>8</v>
      </c>
      <c r="E776">
        <v>518.53</v>
      </c>
      <c r="F776">
        <v>23</v>
      </c>
      <c r="G776" s="4" t="str">
        <f>_xlfn.XLOOKUP($B776,supplier_data!A:A,supplier_data!B:B)</f>
        <v>Dell</v>
      </c>
    </row>
    <row r="777" spans="1:7" x14ac:dyDescent="0.25">
      <c r="A777" s="1">
        <v>45229</v>
      </c>
      <c r="B777" t="s">
        <v>17</v>
      </c>
      <c r="C777" t="s">
        <v>18</v>
      </c>
      <c r="D777" t="s">
        <v>13</v>
      </c>
      <c r="E777">
        <v>1708.43</v>
      </c>
      <c r="F777">
        <v>46</v>
      </c>
      <c r="G777" s="4" t="str">
        <f>_xlfn.XLOOKUP($B777,supplier_data!A:A,supplier_data!B:B)</f>
        <v>Fossil</v>
      </c>
    </row>
    <row r="778" spans="1:7" x14ac:dyDescent="0.25">
      <c r="A778" s="1">
        <v>45262</v>
      </c>
      <c r="B778" t="s">
        <v>12</v>
      </c>
      <c r="C778" t="s">
        <v>7</v>
      </c>
      <c r="D778" t="s">
        <v>13</v>
      </c>
      <c r="E778">
        <v>900.33</v>
      </c>
      <c r="F778">
        <v>45</v>
      </c>
      <c r="G778" s="4" t="str">
        <f>_xlfn.XLOOKUP($B778,supplier_data!A:A,supplier_data!B:B)</f>
        <v>Dell</v>
      </c>
    </row>
    <row r="779" spans="1:7" x14ac:dyDescent="0.25">
      <c r="A779" s="1">
        <v>45133</v>
      </c>
      <c r="B779" t="s">
        <v>17</v>
      </c>
      <c r="C779" t="s">
        <v>18</v>
      </c>
      <c r="D779" t="s">
        <v>13</v>
      </c>
      <c r="E779">
        <v>715.68</v>
      </c>
      <c r="F779">
        <v>23</v>
      </c>
      <c r="G779" s="4" t="str">
        <f>_xlfn.XLOOKUP($B779,supplier_data!A:A,supplier_data!B:B)</f>
        <v>Fossil</v>
      </c>
    </row>
    <row r="780" spans="1:7" x14ac:dyDescent="0.25">
      <c r="A780" s="1">
        <v>44953</v>
      </c>
      <c r="B780" t="s">
        <v>10</v>
      </c>
      <c r="C780" t="s">
        <v>7</v>
      </c>
      <c r="D780" t="s">
        <v>8</v>
      </c>
      <c r="E780">
        <v>1961.13</v>
      </c>
      <c r="F780">
        <v>15</v>
      </c>
      <c r="G780" s="4" t="str">
        <f>_xlfn.XLOOKUP($B780,supplier_data!A:A,supplier_data!B:B)</f>
        <v>Samsung</v>
      </c>
    </row>
    <row r="781" spans="1:7" x14ac:dyDescent="0.25">
      <c r="A781" s="1">
        <v>45222</v>
      </c>
      <c r="B781" t="s">
        <v>14</v>
      </c>
      <c r="C781" t="s">
        <v>7</v>
      </c>
      <c r="D781" t="s">
        <v>11</v>
      </c>
      <c r="E781">
        <v>1371.26</v>
      </c>
      <c r="F781">
        <v>50</v>
      </c>
      <c r="G781" s="4" t="str">
        <f>_xlfn.XLOOKUP($B781,supplier_data!A:A,supplier_data!B:B)</f>
        <v>LG</v>
      </c>
    </row>
    <row r="782" spans="1:7" x14ac:dyDescent="0.25">
      <c r="A782" s="1">
        <v>45202</v>
      </c>
      <c r="B782" t="s">
        <v>20</v>
      </c>
      <c r="C782" t="s">
        <v>7</v>
      </c>
      <c r="D782" t="s">
        <v>11</v>
      </c>
      <c r="E782">
        <v>463.91</v>
      </c>
      <c r="F782">
        <v>26</v>
      </c>
      <c r="G782" s="4" t="str">
        <f>_xlfn.XLOOKUP($B782,supplier_data!A:A,supplier_data!B:B)</f>
        <v>Logitech</v>
      </c>
    </row>
    <row r="783" spans="1:7" x14ac:dyDescent="0.25">
      <c r="A783" s="1">
        <v>45112</v>
      </c>
      <c r="B783" t="s">
        <v>22</v>
      </c>
      <c r="C783" t="s">
        <v>7</v>
      </c>
      <c r="D783" t="s">
        <v>11</v>
      </c>
      <c r="E783">
        <v>1413.25</v>
      </c>
      <c r="F783">
        <v>37</v>
      </c>
      <c r="G783" s="4" t="str">
        <f>_xlfn.XLOOKUP($B783,supplier_data!A:A,supplier_data!B:B)</f>
        <v>Apple</v>
      </c>
    </row>
    <row r="784" spans="1:7" x14ac:dyDescent="0.25">
      <c r="A784" s="1">
        <v>45182</v>
      </c>
      <c r="B784" t="s">
        <v>12</v>
      </c>
      <c r="C784" t="s">
        <v>7</v>
      </c>
      <c r="D784" t="s">
        <v>8</v>
      </c>
      <c r="E784">
        <v>1425.16</v>
      </c>
      <c r="F784">
        <v>3</v>
      </c>
      <c r="G784" s="4" t="str">
        <f>_xlfn.XLOOKUP($B784,supplier_data!A:A,supplier_data!B:B)</f>
        <v>Dell</v>
      </c>
    </row>
    <row r="785" spans="1:7" x14ac:dyDescent="0.25">
      <c r="A785" s="1">
        <v>44936</v>
      </c>
      <c r="B785" t="s">
        <v>22</v>
      </c>
      <c r="C785" t="s">
        <v>7</v>
      </c>
      <c r="D785" t="s">
        <v>13</v>
      </c>
      <c r="E785">
        <v>1964.23</v>
      </c>
      <c r="F785">
        <v>28</v>
      </c>
      <c r="G785" s="4" t="str">
        <f>_xlfn.XLOOKUP($B785,supplier_data!A:A,supplier_data!B:B)</f>
        <v>Apple</v>
      </c>
    </row>
    <row r="786" spans="1:7" x14ac:dyDescent="0.25">
      <c r="A786" s="1">
        <v>45075</v>
      </c>
      <c r="B786" t="s">
        <v>19</v>
      </c>
      <c r="C786" t="s">
        <v>7</v>
      </c>
      <c r="D786" t="s">
        <v>11</v>
      </c>
      <c r="E786">
        <v>1835.48</v>
      </c>
      <c r="F786">
        <v>30</v>
      </c>
      <c r="G786" s="4" t="str">
        <f>_xlfn.XLOOKUP($B786,supplier_data!A:A,supplier_data!B:B)</f>
        <v>HP</v>
      </c>
    </row>
    <row r="787" spans="1:7" x14ac:dyDescent="0.25">
      <c r="A787" s="1">
        <v>45238</v>
      </c>
      <c r="B787" t="s">
        <v>19</v>
      </c>
      <c r="C787" t="s">
        <v>7</v>
      </c>
      <c r="D787" t="s">
        <v>11</v>
      </c>
      <c r="E787">
        <v>1532.11</v>
      </c>
      <c r="F787">
        <v>7</v>
      </c>
      <c r="G787" s="4" t="str">
        <f>_xlfn.XLOOKUP($B787,supplier_data!A:A,supplier_data!B:B)</f>
        <v>HP</v>
      </c>
    </row>
    <row r="788" spans="1:7" x14ac:dyDescent="0.25">
      <c r="A788" s="1">
        <v>44984</v>
      </c>
      <c r="B788" t="s">
        <v>10</v>
      </c>
      <c r="C788" t="s">
        <v>7</v>
      </c>
      <c r="D788" t="s">
        <v>11</v>
      </c>
      <c r="E788">
        <v>227.97</v>
      </c>
      <c r="F788">
        <v>29</v>
      </c>
      <c r="G788" s="4" t="str">
        <f>_xlfn.XLOOKUP($B788,supplier_data!A:A,supplier_data!B:B)</f>
        <v>Samsung</v>
      </c>
    </row>
    <row r="789" spans="1:7" x14ac:dyDescent="0.25">
      <c r="A789" s="1">
        <v>45249</v>
      </c>
      <c r="B789" t="s">
        <v>17</v>
      </c>
      <c r="C789" t="s">
        <v>18</v>
      </c>
      <c r="D789" t="s">
        <v>11</v>
      </c>
      <c r="E789">
        <v>1360.06</v>
      </c>
      <c r="F789">
        <v>40</v>
      </c>
      <c r="G789" s="4" t="str">
        <f>_xlfn.XLOOKUP($B789,supplier_data!A:A,supplier_data!B:B)</f>
        <v>Fossil</v>
      </c>
    </row>
    <row r="790" spans="1:7" x14ac:dyDescent="0.25">
      <c r="A790" s="1">
        <v>44935</v>
      </c>
      <c r="B790" t="s">
        <v>20</v>
      </c>
      <c r="C790" t="s">
        <v>7</v>
      </c>
      <c r="D790" t="s">
        <v>9</v>
      </c>
      <c r="E790">
        <v>1955.96</v>
      </c>
      <c r="F790">
        <v>21</v>
      </c>
      <c r="G790" s="4" t="str">
        <f>_xlfn.XLOOKUP($B790,supplier_data!A:A,supplier_data!B:B)</f>
        <v>Logitech</v>
      </c>
    </row>
    <row r="791" spans="1:7" x14ac:dyDescent="0.25">
      <c r="A791" s="1">
        <v>44983</v>
      </c>
      <c r="B791" t="s">
        <v>10</v>
      </c>
      <c r="C791" t="s">
        <v>7</v>
      </c>
      <c r="D791" t="s">
        <v>13</v>
      </c>
      <c r="E791">
        <v>1443.13</v>
      </c>
      <c r="F791">
        <v>20</v>
      </c>
      <c r="G791" s="4" t="str">
        <f>_xlfn.XLOOKUP($B791,supplier_data!A:A,supplier_data!B:B)</f>
        <v>Samsung</v>
      </c>
    </row>
    <row r="792" spans="1:7" x14ac:dyDescent="0.25">
      <c r="A792" s="1">
        <v>45268</v>
      </c>
      <c r="B792" t="s">
        <v>22</v>
      </c>
      <c r="C792" t="s">
        <v>7</v>
      </c>
      <c r="D792" t="s">
        <v>11</v>
      </c>
      <c r="E792">
        <v>998.65</v>
      </c>
      <c r="F792">
        <v>33</v>
      </c>
      <c r="G792" s="4" t="str">
        <f>_xlfn.XLOOKUP($B792,supplier_data!A:A,supplier_data!B:B)</f>
        <v>Apple</v>
      </c>
    </row>
    <row r="793" spans="1:7" x14ac:dyDescent="0.25">
      <c r="A793" s="1">
        <v>45156</v>
      </c>
      <c r="B793" t="s">
        <v>20</v>
      </c>
      <c r="C793" t="s">
        <v>7</v>
      </c>
      <c r="D793" t="s">
        <v>9</v>
      </c>
      <c r="E793">
        <v>491.32</v>
      </c>
      <c r="F793">
        <v>28</v>
      </c>
      <c r="G793" s="4" t="str">
        <f>_xlfn.XLOOKUP($B793,supplier_data!A:A,supplier_data!B:B)</f>
        <v>Logitech</v>
      </c>
    </row>
    <row r="794" spans="1:7" x14ac:dyDescent="0.25">
      <c r="A794" s="1">
        <v>44943</v>
      </c>
      <c r="B794" t="s">
        <v>14</v>
      </c>
      <c r="C794" t="s">
        <v>7</v>
      </c>
      <c r="D794" t="s">
        <v>9</v>
      </c>
      <c r="E794">
        <v>740.11</v>
      </c>
      <c r="F794">
        <v>13</v>
      </c>
      <c r="G794" s="4" t="str">
        <f>_xlfn.XLOOKUP($B794,supplier_data!A:A,supplier_data!B:B)</f>
        <v>LG</v>
      </c>
    </row>
    <row r="795" spans="1:7" x14ac:dyDescent="0.25">
      <c r="A795" s="1">
        <v>45159</v>
      </c>
      <c r="B795" t="s">
        <v>20</v>
      </c>
      <c r="C795" t="s">
        <v>7</v>
      </c>
      <c r="D795" t="s">
        <v>11</v>
      </c>
      <c r="E795">
        <v>1364.66</v>
      </c>
      <c r="F795">
        <v>1</v>
      </c>
      <c r="G795" s="4" t="str">
        <f>_xlfn.XLOOKUP($B795,supplier_data!A:A,supplier_data!B:B)</f>
        <v>Logitech</v>
      </c>
    </row>
    <row r="796" spans="1:7" x14ac:dyDescent="0.25">
      <c r="A796" s="1">
        <v>44990</v>
      </c>
      <c r="B796" t="s">
        <v>6</v>
      </c>
      <c r="C796" t="s">
        <v>7</v>
      </c>
      <c r="D796" t="s">
        <v>13</v>
      </c>
      <c r="E796">
        <v>552.76</v>
      </c>
      <c r="F796">
        <v>31</v>
      </c>
      <c r="G796" s="4" t="str">
        <f>_xlfn.XLOOKUP($B796,supplier_data!A:A,supplier_data!B:B)</f>
        <v>Canon</v>
      </c>
    </row>
    <row r="797" spans="1:7" x14ac:dyDescent="0.25">
      <c r="A797" s="1">
        <v>45019</v>
      </c>
      <c r="B797" t="s">
        <v>20</v>
      </c>
      <c r="C797" t="s">
        <v>7</v>
      </c>
      <c r="D797" t="s">
        <v>11</v>
      </c>
      <c r="E797">
        <v>220.45</v>
      </c>
      <c r="F797">
        <v>43</v>
      </c>
      <c r="G797" s="4" t="str">
        <f>_xlfn.XLOOKUP($B797,supplier_data!A:A,supplier_data!B:B)</f>
        <v>Logitech</v>
      </c>
    </row>
    <row r="798" spans="1:7" x14ac:dyDescent="0.25">
      <c r="A798" s="1">
        <v>44962</v>
      </c>
      <c r="B798" t="s">
        <v>22</v>
      </c>
      <c r="C798" t="s">
        <v>7</v>
      </c>
      <c r="D798" t="s">
        <v>8</v>
      </c>
      <c r="E798">
        <v>109.82</v>
      </c>
      <c r="F798">
        <v>42</v>
      </c>
      <c r="G798" s="4" t="str">
        <f>_xlfn.XLOOKUP($B798,supplier_data!A:A,supplier_data!B:B)</f>
        <v>Apple</v>
      </c>
    </row>
    <row r="799" spans="1:7" x14ac:dyDescent="0.25">
      <c r="A799" s="1">
        <v>45152</v>
      </c>
      <c r="B799" t="s">
        <v>19</v>
      </c>
      <c r="C799" t="s">
        <v>7</v>
      </c>
      <c r="D799" t="s">
        <v>9</v>
      </c>
      <c r="E799">
        <v>1192.72</v>
      </c>
      <c r="F799">
        <v>18</v>
      </c>
      <c r="G799" s="4" t="str">
        <f>_xlfn.XLOOKUP($B799,supplier_data!A:A,supplier_data!B:B)</f>
        <v>HP</v>
      </c>
    </row>
    <row r="800" spans="1:7" x14ac:dyDescent="0.25">
      <c r="A800" s="1">
        <v>44989</v>
      </c>
      <c r="B800" t="s">
        <v>17</v>
      </c>
      <c r="C800" t="s">
        <v>18</v>
      </c>
      <c r="D800" t="s">
        <v>11</v>
      </c>
      <c r="E800">
        <v>804.06</v>
      </c>
      <c r="F800">
        <v>28</v>
      </c>
      <c r="G800" s="4" t="str">
        <f>_xlfn.XLOOKUP($B800,supplier_data!A:A,supplier_data!B:B)</f>
        <v>Fossil</v>
      </c>
    </row>
    <row r="801" spans="1:7" x14ac:dyDescent="0.25">
      <c r="A801" s="1">
        <v>44940</v>
      </c>
      <c r="B801" t="s">
        <v>19</v>
      </c>
      <c r="C801" t="s">
        <v>7</v>
      </c>
      <c r="D801" t="s">
        <v>13</v>
      </c>
      <c r="E801">
        <v>1417</v>
      </c>
      <c r="F801">
        <v>7</v>
      </c>
      <c r="G801" s="4" t="str">
        <f>_xlfn.XLOOKUP($B801,supplier_data!A:A,supplier_data!B:B)</f>
        <v>HP</v>
      </c>
    </row>
    <row r="802" spans="1:7" x14ac:dyDescent="0.25">
      <c r="A802" s="1">
        <v>45241</v>
      </c>
      <c r="B802" t="s">
        <v>22</v>
      </c>
      <c r="C802" t="s">
        <v>7</v>
      </c>
      <c r="D802" t="s">
        <v>8</v>
      </c>
      <c r="E802">
        <v>1350.95</v>
      </c>
      <c r="F802">
        <v>17</v>
      </c>
      <c r="G802" s="4" t="str">
        <f>_xlfn.XLOOKUP($B802,supplier_data!A:A,supplier_data!B:B)</f>
        <v>Apple</v>
      </c>
    </row>
    <row r="803" spans="1:7" x14ac:dyDescent="0.25">
      <c r="A803" s="1">
        <v>44938</v>
      </c>
      <c r="B803" t="s">
        <v>15</v>
      </c>
      <c r="C803" t="s">
        <v>16</v>
      </c>
      <c r="D803" t="s">
        <v>9</v>
      </c>
      <c r="E803">
        <v>390.34</v>
      </c>
      <c r="F803">
        <v>48</v>
      </c>
      <c r="G803" s="4" t="str">
        <f>_xlfn.XLOOKUP($B803,supplier_data!A:A,supplier_data!B:B)</f>
        <v>Nike</v>
      </c>
    </row>
    <row r="804" spans="1:7" x14ac:dyDescent="0.25">
      <c r="A804" s="1">
        <v>45256</v>
      </c>
      <c r="B804" t="s">
        <v>10</v>
      </c>
      <c r="C804" t="s">
        <v>7</v>
      </c>
      <c r="D804" t="s">
        <v>11</v>
      </c>
      <c r="E804">
        <v>1903.05</v>
      </c>
      <c r="F804">
        <v>37</v>
      </c>
      <c r="G804" s="4" t="str">
        <f>_xlfn.XLOOKUP($B804,supplier_data!A:A,supplier_data!B:B)</f>
        <v>Samsung</v>
      </c>
    </row>
    <row r="805" spans="1:7" x14ac:dyDescent="0.25">
      <c r="A805" s="1">
        <v>45186</v>
      </c>
      <c r="B805" t="s">
        <v>10</v>
      </c>
      <c r="C805" t="s">
        <v>7</v>
      </c>
      <c r="D805" t="s">
        <v>11</v>
      </c>
      <c r="E805">
        <v>769.62</v>
      </c>
      <c r="F805">
        <v>42</v>
      </c>
      <c r="G805" s="4" t="str">
        <f>_xlfn.XLOOKUP($B805,supplier_data!A:A,supplier_data!B:B)</f>
        <v>Samsung</v>
      </c>
    </row>
    <row r="806" spans="1:7" x14ac:dyDescent="0.25">
      <c r="A806" s="1">
        <v>45279</v>
      </c>
      <c r="B806" t="s">
        <v>6</v>
      </c>
      <c r="C806" t="s">
        <v>7</v>
      </c>
      <c r="D806" t="s">
        <v>8</v>
      </c>
      <c r="E806">
        <v>138.91999999999999</v>
      </c>
      <c r="F806">
        <v>10</v>
      </c>
      <c r="G806" s="4" t="str">
        <f>_xlfn.XLOOKUP($B806,supplier_data!A:A,supplier_data!B:B)</f>
        <v>Canon</v>
      </c>
    </row>
    <row r="807" spans="1:7" x14ac:dyDescent="0.25">
      <c r="A807" s="1">
        <v>45106</v>
      </c>
      <c r="B807" t="s">
        <v>14</v>
      </c>
      <c r="C807" t="s">
        <v>7</v>
      </c>
      <c r="D807" t="s">
        <v>11</v>
      </c>
      <c r="E807">
        <v>1581.66</v>
      </c>
      <c r="F807">
        <v>30</v>
      </c>
      <c r="G807" s="4" t="str">
        <f>_xlfn.XLOOKUP($B807,supplier_data!A:A,supplier_data!B:B)</f>
        <v>LG</v>
      </c>
    </row>
    <row r="808" spans="1:7" x14ac:dyDescent="0.25">
      <c r="A808" s="1">
        <v>45057</v>
      </c>
      <c r="B808" t="s">
        <v>19</v>
      </c>
      <c r="C808" t="s">
        <v>7</v>
      </c>
      <c r="D808" t="s">
        <v>13</v>
      </c>
      <c r="E808">
        <v>1753.97</v>
      </c>
      <c r="F808">
        <v>20</v>
      </c>
      <c r="G808" s="4" t="str">
        <f>_xlfn.XLOOKUP($B808,supplier_data!A:A,supplier_data!B:B)</f>
        <v>HP</v>
      </c>
    </row>
    <row r="809" spans="1:7" x14ac:dyDescent="0.25">
      <c r="A809" s="1">
        <v>44955</v>
      </c>
      <c r="B809" t="s">
        <v>15</v>
      </c>
      <c r="C809" t="s">
        <v>16</v>
      </c>
      <c r="D809" t="s">
        <v>8</v>
      </c>
      <c r="E809">
        <v>109.13</v>
      </c>
      <c r="F809">
        <v>44</v>
      </c>
      <c r="G809" s="4" t="str">
        <f>_xlfn.XLOOKUP($B809,supplier_data!A:A,supplier_data!B:B)</f>
        <v>Nike</v>
      </c>
    </row>
    <row r="810" spans="1:7" x14ac:dyDescent="0.25">
      <c r="A810" s="1">
        <v>44935</v>
      </c>
      <c r="B810" t="s">
        <v>12</v>
      </c>
      <c r="C810" t="s">
        <v>7</v>
      </c>
      <c r="D810" t="s">
        <v>8</v>
      </c>
      <c r="E810">
        <v>1188.6099999999999</v>
      </c>
      <c r="F810">
        <v>4</v>
      </c>
      <c r="G810" s="4" t="str">
        <f>_xlfn.XLOOKUP($B810,supplier_data!A:A,supplier_data!B:B)</f>
        <v>Dell</v>
      </c>
    </row>
    <row r="811" spans="1:7" x14ac:dyDescent="0.25">
      <c r="A811" s="1">
        <v>45114</v>
      </c>
      <c r="B811" t="s">
        <v>12</v>
      </c>
      <c r="C811" t="s">
        <v>7</v>
      </c>
      <c r="D811" t="s">
        <v>11</v>
      </c>
      <c r="E811">
        <v>398.71</v>
      </c>
      <c r="F811">
        <v>17</v>
      </c>
      <c r="G811" s="4" t="str">
        <f>_xlfn.XLOOKUP($B811,supplier_data!A:A,supplier_data!B:B)</f>
        <v>Dell</v>
      </c>
    </row>
    <row r="812" spans="1:7" x14ac:dyDescent="0.25">
      <c r="A812" s="1">
        <v>45285</v>
      </c>
      <c r="B812" t="s">
        <v>15</v>
      </c>
      <c r="C812" t="s">
        <v>16</v>
      </c>
      <c r="D812" t="s">
        <v>8</v>
      </c>
      <c r="E812">
        <v>547.51</v>
      </c>
      <c r="F812">
        <v>6</v>
      </c>
      <c r="G812" s="4" t="str">
        <f>_xlfn.XLOOKUP($B812,supplier_data!A:A,supplier_data!B:B)</f>
        <v>Nike</v>
      </c>
    </row>
    <row r="813" spans="1:7" x14ac:dyDescent="0.25">
      <c r="A813" s="1">
        <v>44972</v>
      </c>
      <c r="B813" t="s">
        <v>6</v>
      </c>
      <c r="C813" t="s">
        <v>7</v>
      </c>
      <c r="D813" t="s">
        <v>13</v>
      </c>
      <c r="E813">
        <v>1062.1300000000001</v>
      </c>
      <c r="F813">
        <v>30</v>
      </c>
      <c r="G813" s="4" t="str">
        <f>_xlfn.XLOOKUP($B813,supplier_data!A:A,supplier_data!B:B)</f>
        <v>Canon</v>
      </c>
    </row>
    <row r="814" spans="1:7" x14ac:dyDescent="0.25">
      <c r="A814" s="1">
        <v>45020</v>
      </c>
      <c r="B814" t="s">
        <v>10</v>
      </c>
      <c r="C814" t="s">
        <v>7</v>
      </c>
      <c r="D814" t="s">
        <v>13</v>
      </c>
      <c r="E814">
        <v>855</v>
      </c>
      <c r="F814">
        <v>48</v>
      </c>
      <c r="G814" s="4" t="str">
        <f>_xlfn.XLOOKUP($B814,supplier_data!A:A,supplier_data!B:B)</f>
        <v>Samsung</v>
      </c>
    </row>
    <row r="815" spans="1:7" x14ac:dyDescent="0.25">
      <c r="A815" s="1">
        <v>45291</v>
      </c>
      <c r="B815" t="s">
        <v>20</v>
      </c>
      <c r="C815" t="s">
        <v>7</v>
      </c>
      <c r="D815" t="s">
        <v>13</v>
      </c>
      <c r="E815">
        <v>1485.9</v>
      </c>
      <c r="F815">
        <v>48</v>
      </c>
      <c r="G815" s="4" t="str">
        <f>_xlfn.XLOOKUP($B815,supplier_data!A:A,supplier_data!B:B)</f>
        <v>Logitech</v>
      </c>
    </row>
    <row r="816" spans="1:7" x14ac:dyDescent="0.25">
      <c r="A816" s="1">
        <v>45034</v>
      </c>
      <c r="B816" t="s">
        <v>15</v>
      </c>
      <c r="C816" t="s">
        <v>16</v>
      </c>
      <c r="D816" t="s">
        <v>8</v>
      </c>
      <c r="E816">
        <v>169.04</v>
      </c>
      <c r="F816">
        <v>27</v>
      </c>
      <c r="G816" s="4" t="str">
        <f>_xlfn.XLOOKUP($B816,supplier_data!A:A,supplier_data!B:B)</f>
        <v>Nike</v>
      </c>
    </row>
    <row r="817" spans="1:7" x14ac:dyDescent="0.25">
      <c r="A817" s="1">
        <v>45002</v>
      </c>
      <c r="B817" t="s">
        <v>12</v>
      </c>
      <c r="C817" t="s">
        <v>7</v>
      </c>
      <c r="D817" t="s">
        <v>13</v>
      </c>
      <c r="E817">
        <v>1320.12</v>
      </c>
      <c r="F817">
        <v>13</v>
      </c>
      <c r="G817" s="4" t="str">
        <f>_xlfn.XLOOKUP($B817,supplier_data!A:A,supplier_data!B:B)</f>
        <v>Dell</v>
      </c>
    </row>
    <row r="818" spans="1:7" x14ac:dyDescent="0.25">
      <c r="A818" s="1">
        <v>45137</v>
      </c>
      <c r="B818" t="s">
        <v>17</v>
      </c>
      <c r="C818" t="s">
        <v>18</v>
      </c>
      <c r="D818" t="s">
        <v>13</v>
      </c>
      <c r="E818">
        <v>359.57</v>
      </c>
      <c r="F818">
        <v>8</v>
      </c>
      <c r="G818" s="4" t="str">
        <f>_xlfn.XLOOKUP($B818,supplier_data!A:A,supplier_data!B:B)</f>
        <v>Fossil</v>
      </c>
    </row>
    <row r="819" spans="1:7" x14ac:dyDescent="0.25">
      <c r="A819" s="1">
        <v>45052</v>
      </c>
      <c r="B819" t="s">
        <v>12</v>
      </c>
      <c r="C819" t="s">
        <v>7</v>
      </c>
      <c r="D819" t="s">
        <v>8</v>
      </c>
      <c r="E819">
        <v>728.73</v>
      </c>
      <c r="F819">
        <v>38</v>
      </c>
      <c r="G819" s="4" t="str">
        <f>_xlfn.XLOOKUP($B819,supplier_data!A:A,supplier_data!B:B)</f>
        <v>Dell</v>
      </c>
    </row>
    <row r="820" spans="1:7" x14ac:dyDescent="0.25">
      <c r="A820" s="1">
        <v>45042</v>
      </c>
      <c r="B820" t="s">
        <v>20</v>
      </c>
      <c r="C820" t="s">
        <v>7</v>
      </c>
      <c r="D820" t="s">
        <v>13</v>
      </c>
      <c r="E820">
        <v>348.24</v>
      </c>
      <c r="F820">
        <v>39</v>
      </c>
      <c r="G820" s="4" t="str">
        <f>_xlfn.XLOOKUP($B820,supplier_data!A:A,supplier_data!B:B)</f>
        <v>Logitech</v>
      </c>
    </row>
    <row r="821" spans="1:7" x14ac:dyDescent="0.25">
      <c r="A821" s="1">
        <v>45051</v>
      </c>
      <c r="B821" t="s">
        <v>17</v>
      </c>
      <c r="C821" t="s">
        <v>18</v>
      </c>
      <c r="D821" t="s">
        <v>9</v>
      </c>
      <c r="E821">
        <v>1723.62</v>
      </c>
      <c r="F821">
        <v>50</v>
      </c>
      <c r="G821" s="4" t="str">
        <f>_xlfn.XLOOKUP($B821,supplier_data!A:A,supplier_data!B:B)</f>
        <v>Fossil</v>
      </c>
    </row>
    <row r="822" spans="1:7" x14ac:dyDescent="0.25">
      <c r="A822" s="1">
        <v>44944</v>
      </c>
      <c r="B822" t="s">
        <v>14</v>
      </c>
      <c r="C822" t="s">
        <v>7</v>
      </c>
      <c r="D822" t="s">
        <v>9</v>
      </c>
      <c r="E822">
        <v>1319.2</v>
      </c>
      <c r="F822">
        <v>6</v>
      </c>
      <c r="G822" s="4" t="str">
        <f>_xlfn.XLOOKUP($B822,supplier_data!A:A,supplier_data!B:B)</f>
        <v>LG</v>
      </c>
    </row>
    <row r="823" spans="1:7" x14ac:dyDescent="0.25">
      <c r="A823" s="1">
        <v>45124</v>
      </c>
      <c r="B823" t="s">
        <v>21</v>
      </c>
      <c r="C823" t="s">
        <v>7</v>
      </c>
      <c r="D823" t="s">
        <v>13</v>
      </c>
      <c r="E823">
        <v>1437.07</v>
      </c>
      <c r="F823">
        <v>13</v>
      </c>
      <c r="G823" s="4" t="str">
        <f>_xlfn.XLOOKUP($B823,supplier_data!A:A,supplier_data!B:B)</f>
        <v>Sony</v>
      </c>
    </row>
    <row r="824" spans="1:7" x14ac:dyDescent="0.25">
      <c r="A824" s="1">
        <v>45194</v>
      </c>
      <c r="B824" t="s">
        <v>14</v>
      </c>
      <c r="C824" t="s">
        <v>7</v>
      </c>
      <c r="D824" t="s">
        <v>8</v>
      </c>
      <c r="E824">
        <v>449.96</v>
      </c>
      <c r="F824">
        <v>28</v>
      </c>
      <c r="G824" s="4" t="str">
        <f>_xlfn.XLOOKUP($B824,supplier_data!A:A,supplier_data!B:B)</f>
        <v>LG</v>
      </c>
    </row>
    <row r="825" spans="1:7" x14ac:dyDescent="0.25">
      <c r="A825" s="1">
        <v>45087</v>
      </c>
      <c r="B825" t="s">
        <v>14</v>
      </c>
      <c r="C825" t="s">
        <v>7</v>
      </c>
      <c r="D825" t="s">
        <v>8</v>
      </c>
      <c r="E825">
        <v>134.69999999999999</v>
      </c>
      <c r="F825">
        <v>33</v>
      </c>
      <c r="G825" s="4" t="str">
        <f>_xlfn.XLOOKUP($B825,supplier_data!A:A,supplier_data!B:B)</f>
        <v>LG</v>
      </c>
    </row>
    <row r="826" spans="1:7" x14ac:dyDescent="0.25">
      <c r="A826" s="1">
        <v>45124</v>
      </c>
      <c r="B826" t="s">
        <v>15</v>
      </c>
      <c r="C826" t="s">
        <v>16</v>
      </c>
      <c r="D826" t="s">
        <v>13</v>
      </c>
      <c r="E826">
        <v>989.54</v>
      </c>
      <c r="F826">
        <v>10</v>
      </c>
      <c r="G826" s="4" t="str">
        <f>_xlfn.XLOOKUP($B826,supplier_data!A:A,supplier_data!B:B)</f>
        <v>Nike</v>
      </c>
    </row>
    <row r="827" spans="1:7" x14ac:dyDescent="0.25">
      <c r="A827" s="1">
        <v>45180</v>
      </c>
      <c r="B827" t="s">
        <v>20</v>
      </c>
      <c r="C827" t="s">
        <v>7</v>
      </c>
      <c r="D827" t="s">
        <v>13</v>
      </c>
      <c r="E827">
        <v>1277.33</v>
      </c>
      <c r="F827">
        <v>42</v>
      </c>
      <c r="G827" s="4" t="str">
        <f>_xlfn.XLOOKUP($B827,supplier_data!A:A,supplier_data!B:B)</f>
        <v>Logitech</v>
      </c>
    </row>
    <row r="828" spans="1:7" x14ac:dyDescent="0.25">
      <c r="A828" s="1">
        <v>45010</v>
      </c>
      <c r="B828" t="s">
        <v>12</v>
      </c>
      <c r="C828" t="s">
        <v>7</v>
      </c>
      <c r="D828" t="s">
        <v>8</v>
      </c>
      <c r="E828">
        <v>1388.16</v>
      </c>
      <c r="F828">
        <v>13</v>
      </c>
      <c r="G828" s="4" t="str">
        <f>_xlfn.XLOOKUP($B828,supplier_data!A:A,supplier_data!B:B)</f>
        <v>Dell</v>
      </c>
    </row>
    <row r="829" spans="1:7" x14ac:dyDescent="0.25">
      <c r="A829" s="1">
        <v>45026</v>
      </c>
      <c r="B829" t="s">
        <v>15</v>
      </c>
      <c r="C829" t="s">
        <v>16</v>
      </c>
      <c r="D829" t="s">
        <v>9</v>
      </c>
      <c r="E829">
        <v>213.08</v>
      </c>
      <c r="F829">
        <v>38</v>
      </c>
      <c r="G829" s="4" t="str">
        <f>_xlfn.XLOOKUP($B829,supplier_data!A:A,supplier_data!B:B)</f>
        <v>Nike</v>
      </c>
    </row>
    <row r="830" spans="1:7" x14ac:dyDescent="0.25">
      <c r="A830" s="1">
        <v>45079</v>
      </c>
      <c r="B830" t="s">
        <v>20</v>
      </c>
      <c r="C830" t="s">
        <v>7</v>
      </c>
      <c r="D830" t="s">
        <v>8</v>
      </c>
      <c r="E830">
        <v>651.04</v>
      </c>
      <c r="F830">
        <v>11</v>
      </c>
      <c r="G830" s="4" t="str">
        <f>_xlfn.XLOOKUP($B830,supplier_data!A:A,supplier_data!B:B)</f>
        <v>Logitech</v>
      </c>
    </row>
    <row r="831" spans="1:7" x14ac:dyDescent="0.25">
      <c r="A831" s="1">
        <v>45275</v>
      </c>
      <c r="B831" t="s">
        <v>22</v>
      </c>
      <c r="C831" t="s">
        <v>7</v>
      </c>
      <c r="D831" t="s">
        <v>8</v>
      </c>
      <c r="E831">
        <v>1346.42</v>
      </c>
      <c r="F831">
        <v>15</v>
      </c>
      <c r="G831" s="4" t="str">
        <f>_xlfn.XLOOKUP($B831,supplier_data!A:A,supplier_data!B:B)</f>
        <v>Apple</v>
      </c>
    </row>
    <row r="832" spans="1:7" x14ac:dyDescent="0.25">
      <c r="A832" s="1">
        <v>45280</v>
      </c>
      <c r="B832" t="s">
        <v>6</v>
      </c>
      <c r="C832" t="s">
        <v>7</v>
      </c>
      <c r="D832" t="s">
        <v>8</v>
      </c>
      <c r="E832">
        <v>1813.11</v>
      </c>
      <c r="F832">
        <v>36</v>
      </c>
      <c r="G832" s="4" t="str">
        <f>_xlfn.XLOOKUP($B832,supplier_data!A:A,supplier_data!B:B)</f>
        <v>Canon</v>
      </c>
    </row>
    <row r="833" spans="1:7" x14ac:dyDescent="0.25">
      <c r="A833" s="1">
        <v>45210</v>
      </c>
      <c r="B833" t="s">
        <v>15</v>
      </c>
      <c r="C833" t="s">
        <v>16</v>
      </c>
      <c r="D833" t="s">
        <v>9</v>
      </c>
      <c r="E833">
        <v>846.62</v>
      </c>
      <c r="F833">
        <v>31</v>
      </c>
      <c r="G833" s="4" t="str">
        <f>_xlfn.XLOOKUP($B833,supplier_data!A:A,supplier_data!B:B)</f>
        <v>Nike</v>
      </c>
    </row>
    <row r="834" spans="1:7" x14ac:dyDescent="0.25">
      <c r="A834" s="1">
        <v>45156</v>
      </c>
      <c r="B834" t="s">
        <v>10</v>
      </c>
      <c r="C834" t="s">
        <v>7</v>
      </c>
      <c r="D834" t="s">
        <v>13</v>
      </c>
      <c r="E834">
        <v>1693.29</v>
      </c>
      <c r="F834">
        <v>17</v>
      </c>
      <c r="G834" s="4" t="str">
        <f>_xlfn.XLOOKUP($B834,supplier_data!A:A,supplier_data!B:B)</f>
        <v>Samsung</v>
      </c>
    </row>
    <row r="835" spans="1:7" x14ac:dyDescent="0.25">
      <c r="A835" s="1">
        <v>45203</v>
      </c>
      <c r="B835" t="s">
        <v>20</v>
      </c>
      <c r="C835" t="s">
        <v>7</v>
      </c>
      <c r="D835" t="s">
        <v>11</v>
      </c>
      <c r="E835">
        <v>314.77999999999997</v>
      </c>
      <c r="F835">
        <v>11</v>
      </c>
      <c r="G835" s="4" t="str">
        <f>_xlfn.XLOOKUP($B835,supplier_data!A:A,supplier_data!B:B)</f>
        <v>Logitech</v>
      </c>
    </row>
    <row r="836" spans="1:7" x14ac:dyDescent="0.25">
      <c r="A836" s="1">
        <v>45064</v>
      </c>
      <c r="B836" t="s">
        <v>21</v>
      </c>
      <c r="C836" t="s">
        <v>7</v>
      </c>
      <c r="D836" t="s">
        <v>8</v>
      </c>
      <c r="E836">
        <v>1033.72</v>
      </c>
      <c r="F836">
        <v>38</v>
      </c>
      <c r="G836" s="4" t="str">
        <f>_xlfn.XLOOKUP($B836,supplier_data!A:A,supplier_data!B:B)</f>
        <v>Sony</v>
      </c>
    </row>
    <row r="837" spans="1:7" x14ac:dyDescent="0.25">
      <c r="A837" s="1">
        <v>45224</v>
      </c>
      <c r="B837" t="s">
        <v>6</v>
      </c>
      <c r="C837" t="s">
        <v>7</v>
      </c>
      <c r="D837" t="s">
        <v>9</v>
      </c>
      <c r="E837">
        <v>1202.0899999999999</v>
      </c>
      <c r="F837">
        <v>41</v>
      </c>
      <c r="G837" s="4" t="str">
        <f>_xlfn.XLOOKUP($B837,supplier_data!A:A,supplier_data!B:B)</f>
        <v>Canon</v>
      </c>
    </row>
    <row r="838" spans="1:7" x14ac:dyDescent="0.25">
      <c r="A838" s="1">
        <v>45209</v>
      </c>
      <c r="B838" t="s">
        <v>6</v>
      </c>
      <c r="C838" t="s">
        <v>7</v>
      </c>
      <c r="D838" t="s">
        <v>11</v>
      </c>
      <c r="E838">
        <v>240.15</v>
      </c>
      <c r="F838">
        <v>40</v>
      </c>
      <c r="G838" s="4" t="str">
        <f>_xlfn.XLOOKUP($B838,supplier_data!A:A,supplier_data!B:B)</f>
        <v>Canon</v>
      </c>
    </row>
    <row r="839" spans="1:7" x14ac:dyDescent="0.25">
      <c r="A839" s="1">
        <v>45050</v>
      </c>
      <c r="B839" t="s">
        <v>6</v>
      </c>
      <c r="C839" t="s">
        <v>7</v>
      </c>
      <c r="D839" t="s">
        <v>8</v>
      </c>
      <c r="E839">
        <v>1425.76</v>
      </c>
      <c r="F839">
        <v>28</v>
      </c>
      <c r="G839" s="4" t="str">
        <f>_xlfn.XLOOKUP($B839,supplier_data!A:A,supplier_data!B:B)</f>
        <v>Canon</v>
      </c>
    </row>
    <row r="840" spans="1:7" x14ac:dyDescent="0.25">
      <c r="A840" s="1">
        <v>45102</v>
      </c>
      <c r="B840" t="s">
        <v>6</v>
      </c>
      <c r="C840" t="s">
        <v>7</v>
      </c>
      <c r="D840" t="s">
        <v>8</v>
      </c>
      <c r="E840">
        <v>1718.65</v>
      </c>
      <c r="F840">
        <v>37</v>
      </c>
      <c r="G840" s="4" t="str">
        <f>_xlfn.XLOOKUP($B840,supplier_data!A:A,supplier_data!B:B)</f>
        <v>Canon</v>
      </c>
    </row>
    <row r="841" spans="1:7" x14ac:dyDescent="0.25">
      <c r="A841" s="1">
        <v>45083</v>
      </c>
      <c r="B841" t="s">
        <v>22</v>
      </c>
      <c r="C841" t="s">
        <v>7</v>
      </c>
      <c r="D841" t="s">
        <v>9</v>
      </c>
      <c r="E841">
        <v>1914.19</v>
      </c>
      <c r="F841">
        <v>33</v>
      </c>
      <c r="G841" s="4" t="str">
        <f>_xlfn.XLOOKUP($B841,supplier_data!A:A,supplier_data!B:B)</f>
        <v>Apple</v>
      </c>
    </row>
    <row r="842" spans="1:7" x14ac:dyDescent="0.25">
      <c r="A842" s="1">
        <v>45112</v>
      </c>
      <c r="B842" t="s">
        <v>6</v>
      </c>
      <c r="C842" t="s">
        <v>7</v>
      </c>
      <c r="D842" t="s">
        <v>8</v>
      </c>
      <c r="E842">
        <v>920.31</v>
      </c>
      <c r="F842">
        <v>50</v>
      </c>
      <c r="G842" s="4" t="str">
        <f>_xlfn.XLOOKUP($B842,supplier_data!A:A,supplier_data!B:B)</f>
        <v>Canon</v>
      </c>
    </row>
    <row r="843" spans="1:7" x14ac:dyDescent="0.25">
      <c r="A843" s="1">
        <v>45079</v>
      </c>
      <c r="B843" t="s">
        <v>22</v>
      </c>
      <c r="C843" t="s">
        <v>7</v>
      </c>
      <c r="D843" t="s">
        <v>9</v>
      </c>
      <c r="E843">
        <v>142.87</v>
      </c>
      <c r="F843">
        <v>25</v>
      </c>
      <c r="G843" s="4" t="str">
        <f>_xlfn.XLOOKUP($B843,supplier_data!A:A,supplier_data!B:B)</f>
        <v>Apple</v>
      </c>
    </row>
    <row r="844" spans="1:7" x14ac:dyDescent="0.25">
      <c r="A844" s="1">
        <v>44995</v>
      </c>
      <c r="B844" t="s">
        <v>10</v>
      </c>
      <c r="C844" t="s">
        <v>7</v>
      </c>
      <c r="D844" t="s">
        <v>11</v>
      </c>
      <c r="E844">
        <v>674.35</v>
      </c>
      <c r="F844">
        <v>41</v>
      </c>
      <c r="G844" s="4" t="str">
        <f>_xlfn.XLOOKUP($B844,supplier_data!A:A,supplier_data!B:B)</f>
        <v>Samsung</v>
      </c>
    </row>
    <row r="845" spans="1:7" x14ac:dyDescent="0.25">
      <c r="A845" s="1">
        <v>45241</v>
      </c>
      <c r="B845" t="s">
        <v>14</v>
      </c>
      <c r="C845" t="s">
        <v>7</v>
      </c>
      <c r="D845" t="s">
        <v>8</v>
      </c>
      <c r="E845">
        <v>817.58</v>
      </c>
      <c r="F845">
        <v>31</v>
      </c>
      <c r="G845" s="4" t="str">
        <f>_xlfn.XLOOKUP($B845,supplier_data!A:A,supplier_data!B:B)</f>
        <v>LG</v>
      </c>
    </row>
    <row r="846" spans="1:7" x14ac:dyDescent="0.25">
      <c r="A846" s="1">
        <v>44997</v>
      </c>
      <c r="B846" t="s">
        <v>6</v>
      </c>
      <c r="C846" t="s">
        <v>7</v>
      </c>
      <c r="D846" t="s">
        <v>13</v>
      </c>
      <c r="E846">
        <v>463.44</v>
      </c>
      <c r="F846">
        <v>43</v>
      </c>
      <c r="G846" s="4" t="str">
        <f>_xlfn.XLOOKUP($B846,supplier_data!A:A,supplier_data!B:B)</f>
        <v>Canon</v>
      </c>
    </row>
    <row r="847" spans="1:7" x14ac:dyDescent="0.25">
      <c r="A847" s="1">
        <v>45234</v>
      </c>
      <c r="B847" t="s">
        <v>20</v>
      </c>
      <c r="C847" t="s">
        <v>7</v>
      </c>
      <c r="D847" t="s">
        <v>9</v>
      </c>
      <c r="E847">
        <v>354.44</v>
      </c>
      <c r="F847">
        <v>50</v>
      </c>
      <c r="G847" s="4" t="str">
        <f>_xlfn.XLOOKUP($B847,supplier_data!A:A,supplier_data!B:B)</f>
        <v>Logitech</v>
      </c>
    </row>
    <row r="848" spans="1:7" x14ac:dyDescent="0.25">
      <c r="A848" s="1">
        <v>45051</v>
      </c>
      <c r="B848" t="s">
        <v>19</v>
      </c>
      <c r="C848" t="s">
        <v>7</v>
      </c>
      <c r="D848" t="s">
        <v>13</v>
      </c>
      <c r="E848">
        <v>1213.49</v>
      </c>
      <c r="F848">
        <v>12</v>
      </c>
      <c r="G848" s="4" t="str">
        <f>_xlfn.XLOOKUP($B848,supplier_data!A:A,supplier_data!B:B)</f>
        <v>HP</v>
      </c>
    </row>
    <row r="849" spans="1:7" x14ac:dyDescent="0.25">
      <c r="A849" s="1">
        <v>45064</v>
      </c>
      <c r="B849" t="s">
        <v>6</v>
      </c>
      <c r="C849" t="s">
        <v>7</v>
      </c>
      <c r="D849" t="s">
        <v>11</v>
      </c>
      <c r="E849">
        <v>1468.77</v>
      </c>
      <c r="F849">
        <v>31</v>
      </c>
      <c r="G849" s="4" t="str">
        <f>_xlfn.XLOOKUP($B849,supplier_data!A:A,supplier_data!B:B)</f>
        <v>Canon</v>
      </c>
    </row>
    <row r="850" spans="1:7" x14ac:dyDescent="0.25">
      <c r="A850" s="1">
        <v>44953</v>
      </c>
      <c r="B850" t="s">
        <v>22</v>
      </c>
      <c r="C850" t="s">
        <v>7</v>
      </c>
      <c r="D850" t="s">
        <v>11</v>
      </c>
      <c r="E850">
        <v>203.66</v>
      </c>
      <c r="F850">
        <v>6</v>
      </c>
      <c r="G850" s="4" t="str">
        <f>_xlfn.XLOOKUP($B850,supplier_data!A:A,supplier_data!B:B)</f>
        <v>Apple</v>
      </c>
    </row>
    <row r="851" spans="1:7" x14ac:dyDescent="0.25">
      <c r="A851" s="1">
        <v>44983</v>
      </c>
      <c r="B851" t="s">
        <v>17</v>
      </c>
      <c r="C851" t="s">
        <v>18</v>
      </c>
      <c r="D851" t="s">
        <v>9</v>
      </c>
      <c r="E851">
        <v>1317.22</v>
      </c>
      <c r="F851">
        <v>9</v>
      </c>
      <c r="G851" s="4" t="str">
        <f>_xlfn.XLOOKUP($B851,supplier_data!A:A,supplier_data!B:B)</f>
        <v>Fossil</v>
      </c>
    </row>
    <row r="852" spans="1:7" x14ac:dyDescent="0.25">
      <c r="A852" s="1">
        <v>45230</v>
      </c>
      <c r="B852" t="s">
        <v>12</v>
      </c>
      <c r="C852" t="s">
        <v>7</v>
      </c>
      <c r="D852" t="s">
        <v>8</v>
      </c>
      <c r="E852">
        <v>1082.45</v>
      </c>
      <c r="F852">
        <v>12</v>
      </c>
      <c r="G852" s="4" t="str">
        <f>_xlfn.XLOOKUP($B852,supplier_data!A:A,supplier_data!B:B)</f>
        <v>Dell</v>
      </c>
    </row>
    <row r="853" spans="1:7" x14ac:dyDescent="0.25">
      <c r="A853" s="1">
        <v>45046</v>
      </c>
      <c r="B853" t="s">
        <v>15</v>
      </c>
      <c r="C853" t="s">
        <v>16</v>
      </c>
      <c r="D853" t="s">
        <v>9</v>
      </c>
      <c r="E853">
        <v>370.61</v>
      </c>
      <c r="F853">
        <v>26</v>
      </c>
      <c r="G853" s="4" t="str">
        <f>_xlfn.XLOOKUP($B853,supplier_data!A:A,supplier_data!B:B)</f>
        <v>Nike</v>
      </c>
    </row>
    <row r="854" spans="1:7" x14ac:dyDescent="0.25">
      <c r="A854" s="1">
        <v>45011</v>
      </c>
      <c r="B854" t="s">
        <v>14</v>
      </c>
      <c r="C854" t="s">
        <v>7</v>
      </c>
      <c r="D854" t="s">
        <v>11</v>
      </c>
      <c r="E854">
        <v>1470.03</v>
      </c>
      <c r="F854">
        <v>22</v>
      </c>
      <c r="G854" s="4" t="str">
        <f>_xlfn.XLOOKUP($B854,supplier_data!A:A,supplier_data!B:B)</f>
        <v>LG</v>
      </c>
    </row>
    <row r="855" spans="1:7" x14ac:dyDescent="0.25">
      <c r="A855" s="1">
        <v>45262</v>
      </c>
      <c r="B855" t="s">
        <v>6</v>
      </c>
      <c r="C855" t="s">
        <v>7</v>
      </c>
      <c r="D855" t="s">
        <v>11</v>
      </c>
      <c r="E855">
        <v>1399.58</v>
      </c>
      <c r="F855">
        <v>41</v>
      </c>
      <c r="G855" s="4" t="str">
        <f>_xlfn.XLOOKUP($B855,supplier_data!A:A,supplier_data!B:B)</f>
        <v>Canon</v>
      </c>
    </row>
    <row r="856" spans="1:7" x14ac:dyDescent="0.25">
      <c r="A856" s="1">
        <v>45248</v>
      </c>
      <c r="B856" t="s">
        <v>22</v>
      </c>
      <c r="C856" t="s">
        <v>7</v>
      </c>
      <c r="D856" t="s">
        <v>11</v>
      </c>
      <c r="E856">
        <v>1785.2</v>
      </c>
      <c r="F856">
        <v>36</v>
      </c>
      <c r="G856" s="4" t="str">
        <f>_xlfn.XLOOKUP($B856,supplier_data!A:A,supplier_data!B:B)</f>
        <v>Apple</v>
      </c>
    </row>
    <row r="857" spans="1:7" x14ac:dyDescent="0.25">
      <c r="A857" s="1">
        <v>44989</v>
      </c>
      <c r="B857" t="s">
        <v>21</v>
      </c>
      <c r="C857" t="s">
        <v>7</v>
      </c>
      <c r="D857" t="s">
        <v>8</v>
      </c>
      <c r="E857">
        <v>763.62</v>
      </c>
      <c r="F857">
        <v>20</v>
      </c>
      <c r="G857" s="4" t="str">
        <f>_xlfn.XLOOKUP($B857,supplier_data!A:A,supplier_data!B:B)</f>
        <v>Sony</v>
      </c>
    </row>
    <row r="858" spans="1:7" x14ac:dyDescent="0.25">
      <c r="A858" s="1">
        <v>45268</v>
      </c>
      <c r="B858" t="s">
        <v>20</v>
      </c>
      <c r="C858" t="s">
        <v>7</v>
      </c>
      <c r="D858" t="s">
        <v>13</v>
      </c>
      <c r="E858">
        <v>1527.17</v>
      </c>
      <c r="F858">
        <v>10</v>
      </c>
      <c r="G858" s="4" t="str">
        <f>_xlfn.XLOOKUP($B858,supplier_data!A:A,supplier_data!B:B)</f>
        <v>Logitech</v>
      </c>
    </row>
    <row r="859" spans="1:7" x14ac:dyDescent="0.25">
      <c r="A859" s="1">
        <v>45292</v>
      </c>
      <c r="B859" t="s">
        <v>14</v>
      </c>
      <c r="C859" t="s">
        <v>7</v>
      </c>
      <c r="D859" t="s">
        <v>9</v>
      </c>
      <c r="E859">
        <v>495.47</v>
      </c>
      <c r="F859">
        <v>11</v>
      </c>
      <c r="G859" s="4" t="str">
        <f>_xlfn.XLOOKUP($B859,supplier_data!A:A,supplier_data!B:B)</f>
        <v>LG</v>
      </c>
    </row>
    <row r="860" spans="1:7" x14ac:dyDescent="0.25">
      <c r="A860" s="1">
        <v>45149</v>
      </c>
      <c r="B860" t="s">
        <v>20</v>
      </c>
      <c r="C860" t="s">
        <v>7</v>
      </c>
      <c r="D860" t="s">
        <v>8</v>
      </c>
      <c r="E860">
        <v>306.11</v>
      </c>
      <c r="F860">
        <v>4</v>
      </c>
      <c r="G860" s="4" t="str">
        <f>_xlfn.XLOOKUP($B860,supplier_data!A:A,supplier_data!B:B)</f>
        <v>Logitech</v>
      </c>
    </row>
    <row r="861" spans="1:7" x14ac:dyDescent="0.25">
      <c r="A861" s="1">
        <v>45195</v>
      </c>
      <c r="B861" t="s">
        <v>10</v>
      </c>
      <c r="C861" t="s">
        <v>7</v>
      </c>
      <c r="D861" t="s">
        <v>9</v>
      </c>
      <c r="E861">
        <v>589.21</v>
      </c>
      <c r="F861">
        <v>36</v>
      </c>
      <c r="G861" s="4" t="str">
        <f>_xlfn.XLOOKUP($B861,supplier_data!A:A,supplier_data!B:B)</f>
        <v>Samsung</v>
      </c>
    </row>
    <row r="862" spans="1:7" x14ac:dyDescent="0.25">
      <c r="A862" s="1">
        <v>45081</v>
      </c>
      <c r="B862" t="s">
        <v>14</v>
      </c>
      <c r="C862" t="s">
        <v>7</v>
      </c>
      <c r="D862" t="s">
        <v>11</v>
      </c>
      <c r="E862">
        <v>918.7</v>
      </c>
      <c r="F862">
        <v>44</v>
      </c>
      <c r="G862" s="4" t="str">
        <f>_xlfn.XLOOKUP($B862,supplier_data!A:A,supplier_data!B:B)</f>
        <v>LG</v>
      </c>
    </row>
    <row r="863" spans="1:7" x14ac:dyDescent="0.25">
      <c r="A863" s="1">
        <v>45161</v>
      </c>
      <c r="B863" t="s">
        <v>19</v>
      </c>
      <c r="C863" t="s">
        <v>7</v>
      </c>
      <c r="D863" t="s">
        <v>13</v>
      </c>
      <c r="E863">
        <v>455.76</v>
      </c>
      <c r="F863">
        <v>49</v>
      </c>
      <c r="G863" s="4" t="str">
        <f>_xlfn.XLOOKUP($B863,supplier_data!A:A,supplier_data!B:B)</f>
        <v>HP</v>
      </c>
    </row>
    <row r="864" spans="1:7" x14ac:dyDescent="0.25">
      <c r="A864" s="1">
        <v>45202</v>
      </c>
      <c r="B864" t="s">
        <v>21</v>
      </c>
      <c r="C864" t="s">
        <v>7</v>
      </c>
      <c r="D864" t="s">
        <v>11</v>
      </c>
      <c r="E864">
        <v>635.52</v>
      </c>
      <c r="F864">
        <v>32</v>
      </c>
      <c r="G864" s="4" t="str">
        <f>_xlfn.XLOOKUP($B864,supplier_data!A:A,supplier_data!B:B)</f>
        <v>Sony</v>
      </c>
    </row>
    <row r="865" spans="1:7" x14ac:dyDescent="0.25">
      <c r="A865" s="1">
        <v>45245</v>
      </c>
      <c r="B865" t="s">
        <v>20</v>
      </c>
      <c r="C865" t="s">
        <v>7</v>
      </c>
      <c r="D865" t="s">
        <v>11</v>
      </c>
      <c r="E865">
        <v>954.51</v>
      </c>
      <c r="F865">
        <v>49</v>
      </c>
      <c r="G865" s="4" t="str">
        <f>_xlfn.XLOOKUP($B865,supplier_data!A:A,supplier_data!B:B)</f>
        <v>Logitech</v>
      </c>
    </row>
    <row r="866" spans="1:7" x14ac:dyDescent="0.25">
      <c r="A866" s="1">
        <v>45215</v>
      </c>
      <c r="B866" t="s">
        <v>22</v>
      </c>
      <c r="C866" t="s">
        <v>7</v>
      </c>
      <c r="D866" t="s">
        <v>9</v>
      </c>
      <c r="E866">
        <v>452.64</v>
      </c>
      <c r="F866">
        <v>3</v>
      </c>
      <c r="G866" s="4" t="str">
        <f>_xlfn.XLOOKUP($B866,supplier_data!A:A,supplier_data!B:B)</f>
        <v>Apple</v>
      </c>
    </row>
    <row r="867" spans="1:7" x14ac:dyDescent="0.25">
      <c r="A867" s="1">
        <v>45043</v>
      </c>
      <c r="B867" t="s">
        <v>19</v>
      </c>
      <c r="C867" t="s">
        <v>7</v>
      </c>
      <c r="D867" t="s">
        <v>11</v>
      </c>
      <c r="E867">
        <v>507.75</v>
      </c>
      <c r="F867">
        <v>47</v>
      </c>
      <c r="G867" s="4" t="str">
        <f>_xlfn.XLOOKUP($B867,supplier_data!A:A,supplier_data!B:B)</f>
        <v>HP</v>
      </c>
    </row>
    <row r="868" spans="1:7" x14ac:dyDescent="0.25">
      <c r="A868" s="1">
        <v>45018</v>
      </c>
      <c r="B868" t="s">
        <v>22</v>
      </c>
      <c r="C868" t="s">
        <v>7</v>
      </c>
      <c r="D868" t="s">
        <v>8</v>
      </c>
      <c r="E868">
        <v>1400.68</v>
      </c>
      <c r="F868">
        <v>11</v>
      </c>
      <c r="G868" s="4" t="str">
        <f>_xlfn.XLOOKUP($B868,supplier_data!A:A,supplier_data!B:B)</f>
        <v>Apple</v>
      </c>
    </row>
    <row r="869" spans="1:7" x14ac:dyDescent="0.25">
      <c r="A869" s="1">
        <v>45060</v>
      </c>
      <c r="B869" t="s">
        <v>6</v>
      </c>
      <c r="C869" t="s">
        <v>7</v>
      </c>
      <c r="D869" t="s">
        <v>11</v>
      </c>
      <c r="E869">
        <v>350.13</v>
      </c>
      <c r="F869">
        <v>2</v>
      </c>
      <c r="G869" s="4" t="str">
        <f>_xlfn.XLOOKUP($B869,supplier_data!A:A,supplier_data!B:B)</f>
        <v>Canon</v>
      </c>
    </row>
    <row r="870" spans="1:7" x14ac:dyDescent="0.25">
      <c r="A870" s="1">
        <v>44936</v>
      </c>
      <c r="B870" t="s">
        <v>21</v>
      </c>
      <c r="C870" t="s">
        <v>7</v>
      </c>
      <c r="D870" t="s">
        <v>9</v>
      </c>
      <c r="E870">
        <v>1709.12</v>
      </c>
      <c r="F870">
        <v>11</v>
      </c>
      <c r="G870" s="4" t="str">
        <f>_xlfn.XLOOKUP($B870,supplier_data!A:A,supplier_data!B:B)</f>
        <v>Sony</v>
      </c>
    </row>
    <row r="871" spans="1:7" x14ac:dyDescent="0.25">
      <c r="A871" s="1">
        <v>45191</v>
      </c>
      <c r="B871" t="s">
        <v>10</v>
      </c>
      <c r="C871" t="s">
        <v>7</v>
      </c>
      <c r="D871" t="s">
        <v>13</v>
      </c>
      <c r="E871">
        <v>1445.07</v>
      </c>
      <c r="F871">
        <v>7</v>
      </c>
      <c r="G871" s="4" t="str">
        <f>_xlfn.XLOOKUP($B871,supplier_data!A:A,supplier_data!B:B)</f>
        <v>Samsung</v>
      </c>
    </row>
    <row r="872" spans="1:7" x14ac:dyDescent="0.25">
      <c r="A872" s="1">
        <v>45090</v>
      </c>
      <c r="B872" t="s">
        <v>22</v>
      </c>
      <c r="C872" t="s">
        <v>7</v>
      </c>
      <c r="D872" t="s">
        <v>11</v>
      </c>
      <c r="E872">
        <v>1246.1500000000001</v>
      </c>
      <c r="F872">
        <v>45</v>
      </c>
      <c r="G872" s="4" t="str">
        <f>_xlfn.XLOOKUP($B872,supplier_data!A:A,supplier_data!B:B)</f>
        <v>Apple</v>
      </c>
    </row>
    <row r="873" spans="1:7" x14ac:dyDescent="0.25">
      <c r="A873" s="1">
        <v>45284</v>
      </c>
      <c r="B873" t="s">
        <v>19</v>
      </c>
      <c r="C873" t="s">
        <v>7</v>
      </c>
      <c r="D873" t="s">
        <v>11</v>
      </c>
      <c r="E873">
        <v>1363.58</v>
      </c>
      <c r="F873">
        <v>2</v>
      </c>
      <c r="G873" s="4" t="str">
        <f>_xlfn.XLOOKUP($B873,supplier_data!A:A,supplier_data!B:B)</f>
        <v>HP</v>
      </c>
    </row>
    <row r="874" spans="1:7" x14ac:dyDescent="0.25">
      <c r="A874" s="1">
        <v>45028</v>
      </c>
      <c r="B874" t="s">
        <v>19</v>
      </c>
      <c r="C874" t="s">
        <v>7</v>
      </c>
      <c r="D874" t="s">
        <v>13</v>
      </c>
      <c r="E874">
        <v>118.33</v>
      </c>
      <c r="F874">
        <v>39</v>
      </c>
      <c r="G874" s="4" t="str">
        <f>_xlfn.XLOOKUP($B874,supplier_data!A:A,supplier_data!B:B)</f>
        <v>HP</v>
      </c>
    </row>
    <row r="875" spans="1:7" x14ac:dyDescent="0.25">
      <c r="A875" s="1">
        <v>44928</v>
      </c>
      <c r="B875" t="s">
        <v>15</v>
      </c>
      <c r="C875" t="s">
        <v>16</v>
      </c>
      <c r="D875" t="s">
        <v>9</v>
      </c>
      <c r="E875">
        <v>974.54</v>
      </c>
      <c r="F875">
        <v>15</v>
      </c>
      <c r="G875" s="4" t="str">
        <f>_xlfn.XLOOKUP($B875,supplier_data!A:A,supplier_data!B:B)</f>
        <v>Nike</v>
      </c>
    </row>
    <row r="876" spans="1:7" x14ac:dyDescent="0.25">
      <c r="A876" s="1">
        <v>45003</v>
      </c>
      <c r="B876" t="s">
        <v>22</v>
      </c>
      <c r="C876" t="s">
        <v>7</v>
      </c>
      <c r="D876" t="s">
        <v>9</v>
      </c>
      <c r="E876">
        <v>1423.19</v>
      </c>
      <c r="F876">
        <v>20</v>
      </c>
      <c r="G876" s="4" t="str">
        <f>_xlfn.XLOOKUP($B876,supplier_data!A:A,supplier_data!B:B)</f>
        <v>Apple</v>
      </c>
    </row>
    <row r="877" spans="1:7" x14ac:dyDescent="0.25">
      <c r="A877" s="1">
        <v>45207</v>
      </c>
      <c r="B877" t="s">
        <v>10</v>
      </c>
      <c r="C877" t="s">
        <v>7</v>
      </c>
      <c r="D877" t="s">
        <v>8</v>
      </c>
      <c r="E877">
        <v>565.97</v>
      </c>
      <c r="F877">
        <v>13</v>
      </c>
      <c r="G877" s="4" t="str">
        <f>_xlfn.XLOOKUP($B877,supplier_data!A:A,supplier_data!B:B)</f>
        <v>Samsung</v>
      </c>
    </row>
    <row r="878" spans="1:7" x14ac:dyDescent="0.25">
      <c r="A878" s="1">
        <v>45042</v>
      </c>
      <c r="B878" t="s">
        <v>6</v>
      </c>
      <c r="C878" t="s">
        <v>7</v>
      </c>
      <c r="D878" t="s">
        <v>11</v>
      </c>
      <c r="E878">
        <v>1310.3900000000001</v>
      </c>
      <c r="F878">
        <v>4</v>
      </c>
      <c r="G878" s="4" t="str">
        <f>_xlfn.XLOOKUP($B878,supplier_data!A:A,supplier_data!B:B)</f>
        <v>Canon</v>
      </c>
    </row>
    <row r="879" spans="1:7" x14ac:dyDescent="0.25">
      <c r="A879" s="1">
        <v>45024</v>
      </c>
      <c r="B879" t="s">
        <v>10</v>
      </c>
      <c r="C879" t="s">
        <v>7</v>
      </c>
      <c r="D879" t="s">
        <v>13</v>
      </c>
      <c r="E879">
        <v>1054.47</v>
      </c>
      <c r="F879">
        <v>18</v>
      </c>
      <c r="G879" s="4" t="str">
        <f>_xlfn.XLOOKUP($B879,supplier_data!A:A,supplier_data!B:B)</f>
        <v>Samsung</v>
      </c>
    </row>
    <row r="880" spans="1:7" x14ac:dyDescent="0.25">
      <c r="A880" s="1">
        <v>45144</v>
      </c>
      <c r="B880" t="s">
        <v>14</v>
      </c>
      <c r="C880" t="s">
        <v>7</v>
      </c>
      <c r="D880" t="s">
        <v>11</v>
      </c>
      <c r="E880">
        <v>972.95</v>
      </c>
      <c r="F880">
        <v>15</v>
      </c>
      <c r="G880" s="4" t="str">
        <f>_xlfn.XLOOKUP($B880,supplier_data!A:A,supplier_data!B:B)</f>
        <v>LG</v>
      </c>
    </row>
    <row r="881" spans="1:7" x14ac:dyDescent="0.25">
      <c r="A881" s="1">
        <v>45094</v>
      </c>
      <c r="B881" t="s">
        <v>6</v>
      </c>
      <c r="C881" t="s">
        <v>7</v>
      </c>
      <c r="D881" t="s">
        <v>13</v>
      </c>
      <c r="E881">
        <v>210.99</v>
      </c>
      <c r="F881">
        <v>2</v>
      </c>
      <c r="G881" s="4" t="str">
        <f>_xlfn.XLOOKUP($B881,supplier_data!A:A,supplier_data!B:B)</f>
        <v>Canon</v>
      </c>
    </row>
    <row r="882" spans="1:7" x14ac:dyDescent="0.25">
      <c r="A882" s="1">
        <v>44943</v>
      </c>
      <c r="B882" t="s">
        <v>14</v>
      </c>
      <c r="C882" t="s">
        <v>7</v>
      </c>
      <c r="D882" t="s">
        <v>8</v>
      </c>
      <c r="E882">
        <v>1869.75</v>
      </c>
      <c r="F882">
        <v>32</v>
      </c>
      <c r="G882" s="4" t="str">
        <f>_xlfn.XLOOKUP($B882,supplier_data!A:A,supplier_data!B:B)</f>
        <v>LG</v>
      </c>
    </row>
    <row r="883" spans="1:7" x14ac:dyDescent="0.25">
      <c r="A883" s="1">
        <v>45123</v>
      </c>
      <c r="B883" t="s">
        <v>21</v>
      </c>
      <c r="C883" t="s">
        <v>7</v>
      </c>
      <c r="D883" t="s">
        <v>13</v>
      </c>
      <c r="E883">
        <v>655.09</v>
      </c>
      <c r="F883">
        <v>17</v>
      </c>
      <c r="G883" s="4" t="str">
        <f>_xlfn.XLOOKUP($B883,supplier_data!A:A,supplier_data!B:B)</f>
        <v>Sony</v>
      </c>
    </row>
    <row r="884" spans="1:7" x14ac:dyDescent="0.25">
      <c r="A884" s="1">
        <v>45281</v>
      </c>
      <c r="B884" t="s">
        <v>12</v>
      </c>
      <c r="C884" t="s">
        <v>7</v>
      </c>
      <c r="D884" t="s">
        <v>11</v>
      </c>
      <c r="E884">
        <v>1538.63</v>
      </c>
      <c r="F884">
        <v>14</v>
      </c>
      <c r="G884" s="4" t="str">
        <f>_xlfn.XLOOKUP($B884,supplier_data!A:A,supplier_data!B:B)</f>
        <v>Dell</v>
      </c>
    </row>
    <row r="885" spans="1:7" x14ac:dyDescent="0.25">
      <c r="A885" s="1">
        <v>44990</v>
      </c>
      <c r="B885" t="s">
        <v>15</v>
      </c>
      <c r="C885" t="s">
        <v>16</v>
      </c>
      <c r="D885" t="s">
        <v>8</v>
      </c>
      <c r="E885">
        <v>1077.6500000000001</v>
      </c>
      <c r="F885">
        <v>46</v>
      </c>
      <c r="G885" s="4" t="str">
        <f>_xlfn.XLOOKUP($B885,supplier_data!A:A,supplier_data!B:B)</f>
        <v>Nike</v>
      </c>
    </row>
    <row r="886" spans="1:7" x14ac:dyDescent="0.25">
      <c r="A886" s="1">
        <v>45191</v>
      </c>
      <c r="B886" t="s">
        <v>22</v>
      </c>
      <c r="C886" t="s">
        <v>7</v>
      </c>
      <c r="D886" t="s">
        <v>11</v>
      </c>
      <c r="E886">
        <v>1801.33</v>
      </c>
      <c r="F886">
        <v>38</v>
      </c>
      <c r="G886" s="4" t="str">
        <f>_xlfn.XLOOKUP($B886,supplier_data!A:A,supplier_data!B:B)</f>
        <v>Apple</v>
      </c>
    </row>
    <row r="887" spans="1:7" x14ac:dyDescent="0.25">
      <c r="A887" s="1">
        <v>44967</v>
      </c>
      <c r="B887" t="s">
        <v>12</v>
      </c>
      <c r="C887" t="s">
        <v>7</v>
      </c>
      <c r="D887" t="s">
        <v>11</v>
      </c>
      <c r="E887">
        <v>815.02</v>
      </c>
      <c r="F887">
        <v>2</v>
      </c>
      <c r="G887" s="4" t="str">
        <f>_xlfn.XLOOKUP($B887,supplier_data!A:A,supplier_data!B:B)</f>
        <v>Dell</v>
      </c>
    </row>
    <row r="888" spans="1:7" x14ac:dyDescent="0.25">
      <c r="A888" s="1">
        <v>45211</v>
      </c>
      <c r="B888" t="s">
        <v>12</v>
      </c>
      <c r="C888" t="s">
        <v>7</v>
      </c>
      <c r="D888" t="s">
        <v>8</v>
      </c>
      <c r="E888">
        <v>326.93</v>
      </c>
      <c r="F888">
        <v>22</v>
      </c>
      <c r="G888" s="4" t="str">
        <f>_xlfn.XLOOKUP($B888,supplier_data!A:A,supplier_data!B:B)</f>
        <v>Dell</v>
      </c>
    </row>
    <row r="889" spans="1:7" x14ac:dyDescent="0.25">
      <c r="A889" s="1">
        <v>45078</v>
      </c>
      <c r="B889" t="s">
        <v>21</v>
      </c>
      <c r="C889" t="s">
        <v>7</v>
      </c>
      <c r="D889" t="s">
        <v>8</v>
      </c>
      <c r="E889">
        <v>1126.19</v>
      </c>
      <c r="F889">
        <v>47</v>
      </c>
      <c r="G889" s="4" t="str">
        <f>_xlfn.XLOOKUP($B889,supplier_data!A:A,supplier_data!B:B)</f>
        <v>Sony</v>
      </c>
    </row>
    <row r="890" spans="1:7" x14ac:dyDescent="0.25">
      <c r="A890" s="1">
        <v>44960</v>
      </c>
      <c r="B890" t="s">
        <v>10</v>
      </c>
      <c r="C890" t="s">
        <v>7</v>
      </c>
      <c r="D890" t="s">
        <v>8</v>
      </c>
      <c r="E890">
        <v>1127.9100000000001</v>
      </c>
      <c r="F890">
        <v>30</v>
      </c>
      <c r="G890" s="4" t="str">
        <f>_xlfn.XLOOKUP($B890,supplier_data!A:A,supplier_data!B:B)</f>
        <v>Samsung</v>
      </c>
    </row>
    <row r="891" spans="1:7" x14ac:dyDescent="0.25">
      <c r="A891" s="1">
        <v>45045</v>
      </c>
      <c r="B891" t="s">
        <v>6</v>
      </c>
      <c r="C891" t="s">
        <v>7</v>
      </c>
      <c r="D891" t="s">
        <v>8</v>
      </c>
      <c r="E891">
        <v>1132.68</v>
      </c>
      <c r="F891">
        <v>5</v>
      </c>
      <c r="G891" s="4" t="str">
        <f>_xlfn.XLOOKUP($B891,supplier_data!A:A,supplier_data!B:B)</f>
        <v>Canon</v>
      </c>
    </row>
    <row r="892" spans="1:7" x14ac:dyDescent="0.25">
      <c r="A892" s="1">
        <v>45077</v>
      </c>
      <c r="B892" t="s">
        <v>10</v>
      </c>
      <c r="C892" t="s">
        <v>7</v>
      </c>
      <c r="D892" t="s">
        <v>13</v>
      </c>
      <c r="E892">
        <v>257.14999999999998</v>
      </c>
      <c r="F892">
        <v>48</v>
      </c>
      <c r="G892" s="4" t="str">
        <f>_xlfn.XLOOKUP($B892,supplier_data!A:A,supplier_data!B:B)</f>
        <v>Samsung</v>
      </c>
    </row>
    <row r="893" spans="1:7" x14ac:dyDescent="0.25">
      <c r="A893" s="1">
        <v>45003</v>
      </c>
      <c r="B893" t="s">
        <v>19</v>
      </c>
      <c r="C893" t="s">
        <v>7</v>
      </c>
      <c r="D893" t="s">
        <v>13</v>
      </c>
      <c r="E893">
        <v>1412.64</v>
      </c>
      <c r="F893">
        <v>13</v>
      </c>
      <c r="G893" s="4" t="str">
        <f>_xlfn.XLOOKUP($B893,supplier_data!A:A,supplier_data!B:B)</f>
        <v>HP</v>
      </c>
    </row>
    <row r="894" spans="1:7" x14ac:dyDescent="0.25">
      <c r="A894" s="1">
        <v>45287</v>
      </c>
      <c r="B894" t="s">
        <v>14</v>
      </c>
      <c r="C894" t="s">
        <v>7</v>
      </c>
      <c r="D894" t="s">
        <v>8</v>
      </c>
      <c r="E894">
        <v>1323.7</v>
      </c>
      <c r="F894">
        <v>26</v>
      </c>
      <c r="G894" s="4" t="str">
        <f>_xlfn.XLOOKUP($B894,supplier_data!A:A,supplier_data!B:B)</f>
        <v>LG</v>
      </c>
    </row>
    <row r="895" spans="1:7" x14ac:dyDescent="0.25">
      <c r="A895" s="1">
        <v>45055</v>
      </c>
      <c r="B895" t="s">
        <v>20</v>
      </c>
      <c r="C895" t="s">
        <v>7</v>
      </c>
      <c r="D895" t="s">
        <v>13</v>
      </c>
      <c r="E895">
        <v>1016.37</v>
      </c>
      <c r="F895">
        <v>26</v>
      </c>
      <c r="G895" s="4" t="str">
        <f>_xlfn.XLOOKUP($B895,supplier_data!A:A,supplier_data!B:B)</f>
        <v>Logitech</v>
      </c>
    </row>
    <row r="896" spans="1:7" x14ac:dyDescent="0.25">
      <c r="A896" s="1">
        <v>45097</v>
      </c>
      <c r="B896" t="s">
        <v>19</v>
      </c>
      <c r="C896" t="s">
        <v>7</v>
      </c>
      <c r="D896" t="s">
        <v>13</v>
      </c>
      <c r="E896">
        <v>1899.79</v>
      </c>
      <c r="F896">
        <v>36</v>
      </c>
      <c r="G896" s="4" t="str">
        <f>_xlfn.XLOOKUP($B896,supplier_data!A:A,supplier_data!B:B)</f>
        <v>HP</v>
      </c>
    </row>
    <row r="897" spans="1:7" x14ac:dyDescent="0.25">
      <c r="A897" s="1">
        <v>45248</v>
      </c>
      <c r="B897" t="s">
        <v>17</v>
      </c>
      <c r="C897" t="s">
        <v>18</v>
      </c>
      <c r="D897" t="s">
        <v>11</v>
      </c>
      <c r="E897">
        <v>1249.83</v>
      </c>
      <c r="F897">
        <v>23</v>
      </c>
      <c r="G897" s="4" t="str">
        <f>_xlfn.XLOOKUP($B897,supplier_data!A:A,supplier_data!B:B)</f>
        <v>Fossil</v>
      </c>
    </row>
    <row r="898" spans="1:7" x14ac:dyDescent="0.25">
      <c r="A898" s="1">
        <v>45101</v>
      </c>
      <c r="B898" t="s">
        <v>14</v>
      </c>
      <c r="C898" t="s">
        <v>7</v>
      </c>
      <c r="D898" t="s">
        <v>8</v>
      </c>
      <c r="E898">
        <v>309.41000000000003</v>
      </c>
      <c r="F898">
        <v>22</v>
      </c>
      <c r="G898" s="4" t="str">
        <f>_xlfn.XLOOKUP($B898,supplier_data!A:A,supplier_data!B:B)</f>
        <v>LG</v>
      </c>
    </row>
    <row r="899" spans="1:7" x14ac:dyDescent="0.25">
      <c r="A899" s="1">
        <v>45245</v>
      </c>
      <c r="B899" t="s">
        <v>20</v>
      </c>
      <c r="C899" t="s">
        <v>7</v>
      </c>
      <c r="D899" t="s">
        <v>11</v>
      </c>
      <c r="E899">
        <v>633.91999999999996</v>
      </c>
      <c r="F899">
        <v>49</v>
      </c>
      <c r="G899" s="4" t="str">
        <f>_xlfn.XLOOKUP($B899,supplier_data!A:A,supplier_data!B:B)</f>
        <v>Logitech</v>
      </c>
    </row>
    <row r="900" spans="1:7" x14ac:dyDescent="0.25">
      <c r="A900" s="1">
        <v>45146</v>
      </c>
      <c r="B900" t="s">
        <v>15</v>
      </c>
      <c r="C900" t="s">
        <v>16</v>
      </c>
      <c r="D900" t="s">
        <v>9</v>
      </c>
      <c r="E900">
        <v>1026.6199999999999</v>
      </c>
      <c r="F900">
        <v>23</v>
      </c>
      <c r="G900" s="4" t="str">
        <f>_xlfn.XLOOKUP($B900,supplier_data!A:A,supplier_data!B:B)</f>
        <v>Nike</v>
      </c>
    </row>
    <row r="901" spans="1:7" x14ac:dyDescent="0.25">
      <c r="A901" s="1">
        <v>45256</v>
      </c>
      <c r="B901" t="s">
        <v>10</v>
      </c>
      <c r="C901" t="s">
        <v>7</v>
      </c>
      <c r="D901" t="s">
        <v>9</v>
      </c>
      <c r="E901">
        <v>1046.8599999999999</v>
      </c>
      <c r="F901">
        <v>43</v>
      </c>
      <c r="G901" s="4" t="str">
        <f>_xlfn.XLOOKUP($B901,supplier_data!A:A,supplier_data!B:B)</f>
        <v>Samsung</v>
      </c>
    </row>
    <row r="902" spans="1:7" x14ac:dyDescent="0.25">
      <c r="A902" s="1">
        <v>44951</v>
      </c>
      <c r="B902" t="s">
        <v>12</v>
      </c>
      <c r="C902" t="s">
        <v>7</v>
      </c>
      <c r="D902" t="s">
        <v>8</v>
      </c>
      <c r="E902">
        <v>784.79</v>
      </c>
      <c r="F902">
        <v>24</v>
      </c>
      <c r="G902" s="4" t="str">
        <f>_xlfn.XLOOKUP($B902,supplier_data!A:A,supplier_data!B:B)</f>
        <v>Dell</v>
      </c>
    </row>
    <row r="903" spans="1:7" x14ac:dyDescent="0.25">
      <c r="A903" s="1">
        <v>45179</v>
      </c>
      <c r="B903" t="s">
        <v>6</v>
      </c>
      <c r="C903" t="s">
        <v>7</v>
      </c>
      <c r="D903" t="s">
        <v>9</v>
      </c>
      <c r="E903">
        <v>1659.99</v>
      </c>
      <c r="F903">
        <v>18</v>
      </c>
      <c r="G903" s="4" t="str">
        <f>_xlfn.XLOOKUP($B903,supplier_data!A:A,supplier_data!B:B)</f>
        <v>Canon</v>
      </c>
    </row>
    <row r="904" spans="1:7" x14ac:dyDescent="0.25">
      <c r="A904" s="1">
        <v>44993</v>
      </c>
      <c r="B904" t="s">
        <v>10</v>
      </c>
      <c r="C904" t="s">
        <v>7</v>
      </c>
      <c r="D904" t="s">
        <v>8</v>
      </c>
      <c r="E904">
        <v>297.66000000000003</v>
      </c>
      <c r="F904">
        <v>35</v>
      </c>
      <c r="G904" s="4" t="str">
        <f>_xlfn.XLOOKUP($B904,supplier_data!A:A,supplier_data!B:B)</f>
        <v>Samsung</v>
      </c>
    </row>
    <row r="905" spans="1:7" x14ac:dyDescent="0.25">
      <c r="A905" s="1">
        <v>45263</v>
      </c>
      <c r="B905" t="s">
        <v>21</v>
      </c>
      <c r="C905" t="s">
        <v>7</v>
      </c>
      <c r="D905" t="s">
        <v>8</v>
      </c>
      <c r="E905">
        <v>1226.5899999999999</v>
      </c>
      <c r="F905">
        <v>13</v>
      </c>
      <c r="G905" s="4" t="str">
        <f>_xlfn.XLOOKUP($B905,supplier_data!A:A,supplier_data!B:B)</f>
        <v>Sony</v>
      </c>
    </row>
    <row r="906" spans="1:7" x14ac:dyDescent="0.25">
      <c r="A906" s="1">
        <v>45038</v>
      </c>
      <c r="B906" t="s">
        <v>12</v>
      </c>
      <c r="C906" t="s">
        <v>7</v>
      </c>
      <c r="D906" t="s">
        <v>13</v>
      </c>
      <c r="E906">
        <v>1769.16</v>
      </c>
      <c r="F906">
        <v>1</v>
      </c>
      <c r="G906" s="4" t="str">
        <f>_xlfn.XLOOKUP($B906,supplier_data!A:A,supplier_data!B:B)</f>
        <v>Dell</v>
      </c>
    </row>
    <row r="907" spans="1:7" x14ac:dyDescent="0.25">
      <c r="A907" s="1">
        <v>45129</v>
      </c>
      <c r="B907" t="s">
        <v>12</v>
      </c>
      <c r="C907" t="s">
        <v>7</v>
      </c>
      <c r="D907" t="s">
        <v>8</v>
      </c>
      <c r="E907">
        <v>1558.97</v>
      </c>
      <c r="F907">
        <v>29</v>
      </c>
      <c r="G907" s="4" t="str">
        <f>_xlfn.XLOOKUP($B907,supplier_data!A:A,supplier_data!B:B)</f>
        <v>Dell</v>
      </c>
    </row>
    <row r="908" spans="1:7" x14ac:dyDescent="0.25">
      <c r="A908" s="1">
        <v>45165</v>
      </c>
      <c r="B908" t="s">
        <v>21</v>
      </c>
      <c r="C908" t="s">
        <v>7</v>
      </c>
      <c r="D908" t="s">
        <v>13</v>
      </c>
      <c r="E908">
        <v>1866.52</v>
      </c>
      <c r="F908">
        <v>17</v>
      </c>
      <c r="G908" s="4" t="str">
        <f>_xlfn.XLOOKUP($B908,supplier_data!A:A,supplier_data!B:B)</f>
        <v>Sony</v>
      </c>
    </row>
    <row r="909" spans="1:7" x14ac:dyDescent="0.25">
      <c r="A909" s="1">
        <v>45166</v>
      </c>
      <c r="B909" t="s">
        <v>17</v>
      </c>
      <c r="C909" t="s">
        <v>18</v>
      </c>
      <c r="D909" t="s">
        <v>8</v>
      </c>
      <c r="E909">
        <v>158.09</v>
      </c>
      <c r="F909">
        <v>38</v>
      </c>
      <c r="G909" s="4" t="str">
        <f>_xlfn.XLOOKUP($B909,supplier_data!A:A,supplier_data!B:B)</f>
        <v>Fossil</v>
      </c>
    </row>
    <row r="910" spans="1:7" x14ac:dyDescent="0.25">
      <c r="A910" s="1">
        <v>45126</v>
      </c>
      <c r="B910" t="s">
        <v>14</v>
      </c>
      <c r="C910" t="s">
        <v>7</v>
      </c>
      <c r="D910" t="s">
        <v>8</v>
      </c>
      <c r="E910">
        <v>413.02</v>
      </c>
      <c r="F910">
        <v>39</v>
      </c>
      <c r="G910" s="4" t="str">
        <f>_xlfn.XLOOKUP($B910,supplier_data!A:A,supplier_data!B:B)</f>
        <v>LG</v>
      </c>
    </row>
    <row r="911" spans="1:7" x14ac:dyDescent="0.25">
      <c r="A911" s="1">
        <v>44991</v>
      </c>
      <c r="B911" t="s">
        <v>21</v>
      </c>
      <c r="C911" t="s">
        <v>7</v>
      </c>
      <c r="D911" t="s">
        <v>13</v>
      </c>
      <c r="E911">
        <v>1871</v>
      </c>
      <c r="F911">
        <v>26</v>
      </c>
      <c r="G911" s="4" t="str">
        <f>_xlfn.XLOOKUP($B911,supplier_data!A:A,supplier_data!B:B)</f>
        <v>Sony</v>
      </c>
    </row>
    <row r="912" spans="1:7" x14ac:dyDescent="0.25">
      <c r="A912" s="1">
        <v>45156</v>
      </c>
      <c r="B912" t="s">
        <v>19</v>
      </c>
      <c r="C912" t="s">
        <v>7</v>
      </c>
      <c r="D912" t="s">
        <v>11</v>
      </c>
      <c r="E912">
        <v>1050.8699999999999</v>
      </c>
      <c r="F912">
        <v>37</v>
      </c>
      <c r="G912" s="4" t="str">
        <f>_xlfn.XLOOKUP($B912,supplier_data!A:A,supplier_data!B:B)</f>
        <v>HP</v>
      </c>
    </row>
    <row r="913" spans="1:7" x14ac:dyDescent="0.25">
      <c r="A913" s="1">
        <v>44980</v>
      </c>
      <c r="B913" t="s">
        <v>17</v>
      </c>
      <c r="C913" t="s">
        <v>18</v>
      </c>
      <c r="D913" t="s">
        <v>8</v>
      </c>
      <c r="E913">
        <v>952.72</v>
      </c>
      <c r="F913">
        <v>27</v>
      </c>
      <c r="G913" s="4" t="str">
        <f>_xlfn.XLOOKUP($B913,supplier_data!A:A,supplier_data!B:B)</f>
        <v>Fossil</v>
      </c>
    </row>
    <row r="914" spans="1:7" x14ac:dyDescent="0.25">
      <c r="A914" s="1">
        <v>45197</v>
      </c>
      <c r="B914" t="s">
        <v>15</v>
      </c>
      <c r="C914" t="s">
        <v>16</v>
      </c>
      <c r="D914" t="s">
        <v>13</v>
      </c>
      <c r="E914">
        <v>1350.46</v>
      </c>
      <c r="F914">
        <v>48</v>
      </c>
      <c r="G914" s="4" t="str">
        <f>_xlfn.XLOOKUP($B914,supplier_data!A:A,supplier_data!B:B)</f>
        <v>Nike</v>
      </c>
    </row>
    <row r="915" spans="1:7" x14ac:dyDescent="0.25">
      <c r="A915" s="1">
        <v>44954</v>
      </c>
      <c r="B915" t="s">
        <v>22</v>
      </c>
      <c r="C915" t="s">
        <v>7</v>
      </c>
      <c r="D915" t="s">
        <v>9</v>
      </c>
      <c r="E915">
        <v>704.01</v>
      </c>
      <c r="F915">
        <v>8</v>
      </c>
      <c r="G915" s="4" t="str">
        <f>_xlfn.XLOOKUP($B915,supplier_data!A:A,supplier_data!B:B)</f>
        <v>Apple</v>
      </c>
    </row>
    <row r="916" spans="1:7" x14ac:dyDescent="0.25">
      <c r="A916" s="1">
        <v>45032</v>
      </c>
      <c r="B916" t="s">
        <v>12</v>
      </c>
      <c r="C916" t="s">
        <v>7</v>
      </c>
      <c r="D916" t="s">
        <v>13</v>
      </c>
      <c r="E916">
        <v>636.1</v>
      </c>
      <c r="F916">
        <v>43</v>
      </c>
      <c r="G916" s="4" t="str">
        <f>_xlfn.XLOOKUP($B916,supplier_data!A:A,supplier_data!B:B)</f>
        <v>Dell</v>
      </c>
    </row>
    <row r="917" spans="1:7" x14ac:dyDescent="0.25">
      <c r="A917" s="1">
        <v>44964</v>
      </c>
      <c r="B917" t="s">
        <v>17</v>
      </c>
      <c r="C917" t="s">
        <v>18</v>
      </c>
      <c r="D917" t="s">
        <v>9</v>
      </c>
      <c r="E917">
        <v>1379.94</v>
      </c>
      <c r="F917">
        <v>6</v>
      </c>
      <c r="G917" s="4" t="str">
        <f>_xlfn.XLOOKUP($B917,supplier_data!A:A,supplier_data!B:B)</f>
        <v>Fossil</v>
      </c>
    </row>
    <row r="918" spans="1:7" x14ac:dyDescent="0.25">
      <c r="A918" s="1">
        <v>45217</v>
      </c>
      <c r="B918" t="s">
        <v>14</v>
      </c>
      <c r="C918" t="s">
        <v>7</v>
      </c>
      <c r="D918" t="s">
        <v>8</v>
      </c>
      <c r="E918">
        <v>583.33000000000004</v>
      </c>
      <c r="F918">
        <v>21</v>
      </c>
      <c r="G918" s="4" t="str">
        <f>_xlfn.XLOOKUP($B918,supplier_data!A:A,supplier_data!B:B)</f>
        <v>LG</v>
      </c>
    </row>
    <row r="919" spans="1:7" x14ac:dyDescent="0.25">
      <c r="A919" s="1">
        <v>45155</v>
      </c>
      <c r="B919" t="s">
        <v>6</v>
      </c>
      <c r="C919" t="s">
        <v>7</v>
      </c>
      <c r="D919" t="s">
        <v>9</v>
      </c>
      <c r="E919">
        <v>1344.25</v>
      </c>
      <c r="F919">
        <v>41</v>
      </c>
      <c r="G919" s="4" t="str">
        <f>_xlfn.XLOOKUP($B919,supplier_data!A:A,supplier_data!B:B)</f>
        <v>Canon</v>
      </c>
    </row>
    <row r="920" spans="1:7" x14ac:dyDescent="0.25">
      <c r="A920" s="1">
        <v>45186</v>
      </c>
      <c r="B920" t="s">
        <v>21</v>
      </c>
      <c r="C920" t="s">
        <v>7</v>
      </c>
      <c r="D920" t="s">
        <v>13</v>
      </c>
      <c r="E920">
        <v>1287.06</v>
      </c>
      <c r="F920">
        <v>22</v>
      </c>
      <c r="G920" s="4" t="str">
        <f>_xlfn.XLOOKUP($B920,supplier_data!A:A,supplier_data!B:B)</f>
        <v>Sony</v>
      </c>
    </row>
    <row r="921" spans="1:7" x14ac:dyDescent="0.25">
      <c r="A921" s="1">
        <v>45056</v>
      </c>
      <c r="B921" t="s">
        <v>22</v>
      </c>
      <c r="C921" t="s">
        <v>7</v>
      </c>
      <c r="D921" t="s">
        <v>13</v>
      </c>
      <c r="E921">
        <v>1209.68</v>
      </c>
      <c r="F921">
        <v>40</v>
      </c>
      <c r="G921" s="4" t="str">
        <f>_xlfn.XLOOKUP($B921,supplier_data!A:A,supplier_data!B:B)</f>
        <v>Apple</v>
      </c>
    </row>
    <row r="922" spans="1:7" x14ac:dyDescent="0.25">
      <c r="A922" s="1">
        <v>45139</v>
      </c>
      <c r="B922" t="s">
        <v>15</v>
      </c>
      <c r="C922" t="s">
        <v>16</v>
      </c>
      <c r="D922" t="s">
        <v>11</v>
      </c>
      <c r="E922">
        <v>1056.04</v>
      </c>
      <c r="F922">
        <v>35</v>
      </c>
      <c r="G922" s="4" t="str">
        <f>_xlfn.XLOOKUP($B922,supplier_data!A:A,supplier_data!B:B)</f>
        <v>Nike</v>
      </c>
    </row>
    <row r="923" spans="1:7" x14ac:dyDescent="0.25">
      <c r="A923" s="1">
        <v>45168</v>
      </c>
      <c r="B923" t="s">
        <v>12</v>
      </c>
      <c r="C923" t="s">
        <v>7</v>
      </c>
      <c r="D923" t="s">
        <v>11</v>
      </c>
      <c r="E923">
        <v>1608.81</v>
      </c>
      <c r="F923">
        <v>27</v>
      </c>
      <c r="G923" s="4" t="str">
        <f>_xlfn.XLOOKUP($B923,supplier_data!A:A,supplier_data!B:B)</f>
        <v>Dell</v>
      </c>
    </row>
    <row r="924" spans="1:7" x14ac:dyDescent="0.25">
      <c r="A924" s="1">
        <v>45062</v>
      </c>
      <c r="B924" t="s">
        <v>17</v>
      </c>
      <c r="C924" t="s">
        <v>18</v>
      </c>
      <c r="D924" t="s">
        <v>9</v>
      </c>
      <c r="E924">
        <v>143.63</v>
      </c>
      <c r="F924">
        <v>4</v>
      </c>
      <c r="G924" s="4" t="str">
        <f>_xlfn.XLOOKUP($B924,supplier_data!A:A,supplier_data!B:B)</f>
        <v>Fossil</v>
      </c>
    </row>
    <row r="925" spans="1:7" x14ac:dyDescent="0.25">
      <c r="A925" s="1">
        <v>45239</v>
      </c>
      <c r="B925" t="s">
        <v>21</v>
      </c>
      <c r="C925" t="s">
        <v>7</v>
      </c>
      <c r="D925" t="s">
        <v>13</v>
      </c>
      <c r="E925">
        <v>145.16</v>
      </c>
      <c r="F925">
        <v>30</v>
      </c>
      <c r="G925" s="4" t="str">
        <f>_xlfn.XLOOKUP($B925,supplier_data!A:A,supplier_data!B:B)</f>
        <v>Sony</v>
      </c>
    </row>
    <row r="926" spans="1:7" x14ac:dyDescent="0.25">
      <c r="A926" s="1">
        <v>45063</v>
      </c>
      <c r="B926" t="s">
        <v>20</v>
      </c>
      <c r="C926" t="s">
        <v>7</v>
      </c>
      <c r="D926" t="s">
        <v>13</v>
      </c>
      <c r="E926">
        <v>1930.89</v>
      </c>
      <c r="F926">
        <v>46</v>
      </c>
      <c r="G926" s="4" t="str">
        <f>_xlfn.XLOOKUP($B926,supplier_data!A:A,supplier_data!B:B)</f>
        <v>Logitech</v>
      </c>
    </row>
    <row r="927" spans="1:7" x14ac:dyDescent="0.25">
      <c r="A927" s="1">
        <v>44992</v>
      </c>
      <c r="B927" t="s">
        <v>6</v>
      </c>
      <c r="C927" t="s">
        <v>7</v>
      </c>
      <c r="D927" t="s">
        <v>9</v>
      </c>
      <c r="E927">
        <v>1382.63</v>
      </c>
      <c r="F927">
        <v>38</v>
      </c>
      <c r="G927" s="4" t="str">
        <f>_xlfn.XLOOKUP($B927,supplier_data!A:A,supplier_data!B:B)</f>
        <v>Canon</v>
      </c>
    </row>
    <row r="928" spans="1:7" x14ac:dyDescent="0.25">
      <c r="A928" s="1">
        <v>45201</v>
      </c>
      <c r="B928" t="s">
        <v>21</v>
      </c>
      <c r="C928" t="s">
        <v>7</v>
      </c>
      <c r="D928" t="s">
        <v>11</v>
      </c>
      <c r="E928">
        <v>1475.81</v>
      </c>
      <c r="F928">
        <v>39</v>
      </c>
      <c r="G928" s="4" t="str">
        <f>_xlfn.XLOOKUP($B928,supplier_data!A:A,supplier_data!B:B)</f>
        <v>Sony</v>
      </c>
    </row>
    <row r="929" spans="1:7" x14ac:dyDescent="0.25">
      <c r="A929" s="1">
        <v>45123</v>
      </c>
      <c r="B929" t="s">
        <v>14</v>
      </c>
      <c r="C929" t="s">
        <v>7</v>
      </c>
      <c r="D929" t="s">
        <v>11</v>
      </c>
      <c r="E929">
        <v>1971.65</v>
      </c>
      <c r="F929">
        <v>6</v>
      </c>
      <c r="G929" s="4" t="str">
        <f>_xlfn.XLOOKUP($B929,supplier_data!A:A,supplier_data!B:B)</f>
        <v>LG</v>
      </c>
    </row>
    <row r="930" spans="1:7" x14ac:dyDescent="0.25">
      <c r="A930" s="1">
        <v>45161</v>
      </c>
      <c r="B930" t="s">
        <v>17</v>
      </c>
      <c r="C930" t="s">
        <v>18</v>
      </c>
      <c r="D930" t="s">
        <v>13</v>
      </c>
      <c r="E930">
        <v>1582.96</v>
      </c>
      <c r="F930">
        <v>1</v>
      </c>
      <c r="G930" s="4" t="str">
        <f>_xlfn.XLOOKUP($B930,supplier_data!A:A,supplier_data!B:B)</f>
        <v>Fossil</v>
      </c>
    </row>
    <row r="931" spans="1:7" x14ac:dyDescent="0.25">
      <c r="A931" s="1">
        <v>45091</v>
      </c>
      <c r="B931" t="s">
        <v>20</v>
      </c>
      <c r="C931" t="s">
        <v>7</v>
      </c>
      <c r="D931" t="s">
        <v>13</v>
      </c>
      <c r="E931">
        <v>1691.98</v>
      </c>
      <c r="F931">
        <v>45</v>
      </c>
      <c r="G931" s="4" t="str">
        <f>_xlfn.XLOOKUP($B931,supplier_data!A:A,supplier_data!B:B)</f>
        <v>Logitech</v>
      </c>
    </row>
    <row r="932" spans="1:7" x14ac:dyDescent="0.25">
      <c r="A932" s="1">
        <v>45178</v>
      </c>
      <c r="B932" t="s">
        <v>6</v>
      </c>
      <c r="C932" t="s">
        <v>7</v>
      </c>
      <c r="D932" t="s">
        <v>9</v>
      </c>
      <c r="E932">
        <v>1101.4100000000001</v>
      </c>
      <c r="F932">
        <v>46</v>
      </c>
      <c r="G932" s="4" t="str">
        <f>_xlfn.XLOOKUP($B932,supplier_data!A:A,supplier_data!B:B)</f>
        <v>Canon</v>
      </c>
    </row>
    <row r="933" spans="1:7" x14ac:dyDescent="0.25">
      <c r="A933" s="1">
        <v>45190</v>
      </c>
      <c r="B933" t="s">
        <v>20</v>
      </c>
      <c r="C933" t="s">
        <v>7</v>
      </c>
      <c r="D933" t="s">
        <v>8</v>
      </c>
      <c r="E933">
        <v>1852.7</v>
      </c>
      <c r="F933">
        <v>48</v>
      </c>
      <c r="G933" s="4" t="str">
        <f>_xlfn.XLOOKUP($B933,supplier_data!A:A,supplier_data!B:B)</f>
        <v>Logitech</v>
      </c>
    </row>
    <row r="934" spans="1:7" x14ac:dyDescent="0.25">
      <c r="A934" s="1">
        <v>45287</v>
      </c>
      <c r="B934" t="s">
        <v>19</v>
      </c>
      <c r="C934" t="s">
        <v>7</v>
      </c>
      <c r="D934" t="s">
        <v>8</v>
      </c>
      <c r="E934">
        <v>1322.3</v>
      </c>
      <c r="F934">
        <v>2</v>
      </c>
      <c r="G934" s="4" t="str">
        <f>_xlfn.XLOOKUP($B934,supplier_data!A:A,supplier_data!B:B)</f>
        <v>HP</v>
      </c>
    </row>
    <row r="935" spans="1:7" x14ac:dyDescent="0.25">
      <c r="A935" s="1">
        <v>45079</v>
      </c>
      <c r="B935" t="s">
        <v>21</v>
      </c>
      <c r="C935" t="s">
        <v>7</v>
      </c>
      <c r="D935" t="s">
        <v>9</v>
      </c>
      <c r="E935">
        <v>1821.42</v>
      </c>
      <c r="F935">
        <v>34</v>
      </c>
      <c r="G935" s="4" t="str">
        <f>_xlfn.XLOOKUP($B935,supplier_data!A:A,supplier_data!B:B)</f>
        <v>Sony</v>
      </c>
    </row>
    <row r="936" spans="1:7" x14ac:dyDescent="0.25">
      <c r="A936" s="1">
        <v>45260</v>
      </c>
      <c r="B936" t="s">
        <v>21</v>
      </c>
      <c r="C936" t="s">
        <v>7</v>
      </c>
      <c r="D936" t="s">
        <v>13</v>
      </c>
      <c r="E936">
        <v>1558.32</v>
      </c>
      <c r="F936">
        <v>27</v>
      </c>
      <c r="G936" s="4" t="str">
        <f>_xlfn.XLOOKUP($B936,supplier_data!A:A,supplier_data!B:B)</f>
        <v>Sony</v>
      </c>
    </row>
    <row r="937" spans="1:7" x14ac:dyDescent="0.25">
      <c r="A937" s="1">
        <v>45027</v>
      </c>
      <c r="B937" t="s">
        <v>19</v>
      </c>
      <c r="C937" t="s">
        <v>7</v>
      </c>
      <c r="D937" t="s">
        <v>13</v>
      </c>
      <c r="E937">
        <v>1048.97</v>
      </c>
      <c r="F937">
        <v>44</v>
      </c>
      <c r="G937" s="4" t="str">
        <f>_xlfn.XLOOKUP($B937,supplier_data!A:A,supplier_data!B:B)</f>
        <v>HP</v>
      </c>
    </row>
    <row r="938" spans="1:7" x14ac:dyDescent="0.25">
      <c r="A938" s="1">
        <v>44935</v>
      </c>
      <c r="B938" t="s">
        <v>20</v>
      </c>
      <c r="C938" t="s">
        <v>7</v>
      </c>
      <c r="D938" t="s">
        <v>13</v>
      </c>
      <c r="E938">
        <v>1825.55</v>
      </c>
      <c r="F938">
        <v>42</v>
      </c>
      <c r="G938" s="4" t="str">
        <f>_xlfn.XLOOKUP($B938,supplier_data!A:A,supplier_data!B:B)</f>
        <v>Logitech</v>
      </c>
    </row>
    <row r="939" spans="1:7" x14ac:dyDescent="0.25">
      <c r="A939" s="1">
        <v>45219</v>
      </c>
      <c r="B939" t="s">
        <v>10</v>
      </c>
      <c r="C939" t="s">
        <v>7</v>
      </c>
      <c r="D939" t="s">
        <v>9</v>
      </c>
      <c r="E939">
        <v>1653.34</v>
      </c>
      <c r="F939">
        <v>13</v>
      </c>
      <c r="G939" s="4" t="str">
        <f>_xlfn.XLOOKUP($B939,supplier_data!A:A,supplier_data!B:B)</f>
        <v>Samsung</v>
      </c>
    </row>
    <row r="940" spans="1:7" x14ac:dyDescent="0.25">
      <c r="A940" s="1">
        <v>45016</v>
      </c>
      <c r="B940" t="s">
        <v>10</v>
      </c>
      <c r="C940" t="s">
        <v>7</v>
      </c>
      <c r="D940" t="s">
        <v>8</v>
      </c>
      <c r="E940">
        <v>1456.09</v>
      </c>
      <c r="F940">
        <v>15</v>
      </c>
      <c r="G940" s="4" t="str">
        <f>_xlfn.XLOOKUP($B940,supplier_data!A:A,supplier_data!B:B)</f>
        <v>Samsung</v>
      </c>
    </row>
    <row r="941" spans="1:7" x14ac:dyDescent="0.25">
      <c r="A941" s="1">
        <v>45285</v>
      </c>
      <c r="B941" t="s">
        <v>20</v>
      </c>
      <c r="C941" t="s">
        <v>7</v>
      </c>
      <c r="D941" t="s">
        <v>11</v>
      </c>
      <c r="E941">
        <v>143.96</v>
      </c>
      <c r="F941">
        <v>46</v>
      </c>
      <c r="G941" s="4" t="str">
        <f>_xlfn.XLOOKUP($B941,supplier_data!A:A,supplier_data!B:B)</f>
        <v>Logitech</v>
      </c>
    </row>
    <row r="942" spans="1:7" x14ac:dyDescent="0.25">
      <c r="A942" s="1">
        <v>45285</v>
      </c>
      <c r="B942" t="s">
        <v>20</v>
      </c>
      <c r="C942" t="s">
        <v>7</v>
      </c>
      <c r="D942" t="s">
        <v>11</v>
      </c>
      <c r="E942">
        <v>218.08</v>
      </c>
      <c r="F942">
        <v>26</v>
      </c>
      <c r="G942" s="4" t="str">
        <f>_xlfn.XLOOKUP($B942,supplier_data!A:A,supplier_data!B:B)</f>
        <v>Logitech</v>
      </c>
    </row>
    <row r="943" spans="1:7" x14ac:dyDescent="0.25">
      <c r="A943" s="1">
        <v>45235</v>
      </c>
      <c r="B943" t="s">
        <v>19</v>
      </c>
      <c r="C943" t="s">
        <v>7</v>
      </c>
      <c r="D943" t="s">
        <v>13</v>
      </c>
      <c r="E943">
        <v>998.53</v>
      </c>
      <c r="F943">
        <v>34</v>
      </c>
      <c r="G943" s="4" t="str">
        <f>_xlfn.XLOOKUP($B943,supplier_data!A:A,supplier_data!B:B)</f>
        <v>HP</v>
      </c>
    </row>
    <row r="944" spans="1:7" x14ac:dyDescent="0.25">
      <c r="A944" s="1">
        <v>44938</v>
      </c>
      <c r="B944" t="s">
        <v>15</v>
      </c>
      <c r="C944" t="s">
        <v>16</v>
      </c>
      <c r="D944" t="s">
        <v>9</v>
      </c>
      <c r="E944">
        <v>1081.3</v>
      </c>
      <c r="F944">
        <v>12</v>
      </c>
      <c r="G944" s="4" t="str">
        <f>_xlfn.XLOOKUP($B944,supplier_data!A:A,supplier_data!B:B)</f>
        <v>Nike</v>
      </c>
    </row>
    <row r="945" spans="1:7" x14ac:dyDescent="0.25">
      <c r="A945" s="1">
        <v>45158</v>
      </c>
      <c r="B945" t="s">
        <v>22</v>
      </c>
      <c r="C945" t="s">
        <v>7</v>
      </c>
      <c r="D945" t="s">
        <v>11</v>
      </c>
      <c r="E945">
        <v>719.67</v>
      </c>
      <c r="F945">
        <v>47</v>
      </c>
      <c r="G945" s="4" t="str">
        <f>_xlfn.XLOOKUP($B945,supplier_data!A:A,supplier_data!B:B)</f>
        <v>Apple</v>
      </c>
    </row>
    <row r="946" spans="1:7" x14ac:dyDescent="0.25">
      <c r="A946" s="1">
        <v>45272</v>
      </c>
      <c r="B946" t="s">
        <v>19</v>
      </c>
      <c r="C946" t="s">
        <v>7</v>
      </c>
      <c r="D946" t="s">
        <v>9</v>
      </c>
      <c r="E946">
        <v>702.29</v>
      </c>
      <c r="F946">
        <v>47</v>
      </c>
      <c r="G946" s="4" t="str">
        <f>_xlfn.XLOOKUP($B946,supplier_data!A:A,supplier_data!B:B)</f>
        <v>HP</v>
      </c>
    </row>
    <row r="947" spans="1:7" x14ac:dyDescent="0.25">
      <c r="A947" s="1">
        <v>44956</v>
      </c>
      <c r="B947" t="s">
        <v>17</v>
      </c>
      <c r="C947" t="s">
        <v>18</v>
      </c>
      <c r="D947" t="s">
        <v>13</v>
      </c>
      <c r="E947">
        <v>1732.96</v>
      </c>
      <c r="F947">
        <v>8</v>
      </c>
      <c r="G947" s="4" t="str">
        <f>_xlfn.XLOOKUP($B947,supplier_data!A:A,supplier_data!B:B)</f>
        <v>Fossil</v>
      </c>
    </row>
    <row r="948" spans="1:7" x14ac:dyDescent="0.25">
      <c r="A948" s="1">
        <v>45280</v>
      </c>
      <c r="B948" t="s">
        <v>10</v>
      </c>
      <c r="C948" t="s">
        <v>7</v>
      </c>
      <c r="D948" t="s">
        <v>11</v>
      </c>
      <c r="E948">
        <v>1212.51</v>
      </c>
      <c r="F948">
        <v>24</v>
      </c>
      <c r="G948" s="4" t="str">
        <f>_xlfn.XLOOKUP($B948,supplier_data!A:A,supplier_data!B:B)</f>
        <v>Samsung</v>
      </c>
    </row>
    <row r="949" spans="1:7" x14ac:dyDescent="0.25">
      <c r="A949" s="1">
        <v>45074</v>
      </c>
      <c r="B949" t="s">
        <v>15</v>
      </c>
      <c r="C949" t="s">
        <v>16</v>
      </c>
      <c r="D949" t="s">
        <v>9</v>
      </c>
      <c r="E949">
        <v>1793.91</v>
      </c>
      <c r="F949">
        <v>22</v>
      </c>
      <c r="G949" s="4" t="str">
        <f>_xlfn.XLOOKUP($B949,supplier_data!A:A,supplier_data!B:B)</f>
        <v>Nike</v>
      </c>
    </row>
    <row r="950" spans="1:7" x14ac:dyDescent="0.25">
      <c r="A950" s="1">
        <v>45067</v>
      </c>
      <c r="B950" t="s">
        <v>14</v>
      </c>
      <c r="C950" t="s">
        <v>7</v>
      </c>
      <c r="D950" t="s">
        <v>8</v>
      </c>
      <c r="E950">
        <v>339.4</v>
      </c>
      <c r="F950">
        <v>1</v>
      </c>
      <c r="G950" s="4" t="str">
        <f>_xlfn.XLOOKUP($B950,supplier_data!A:A,supplier_data!B:B)</f>
        <v>LG</v>
      </c>
    </row>
    <row r="951" spans="1:7" x14ac:dyDescent="0.25">
      <c r="A951" s="1">
        <v>45212</v>
      </c>
      <c r="B951" t="s">
        <v>22</v>
      </c>
      <c r="C951" t="s">
        <v>7</v>
      </c>
      <c r="D951" t="s">
        <v>11</v>
      </c>
      <c r="E951">
        <v>439.3</v>
      </c>
      <c r="F951">
        <v>36</v>
      </c>
      <c r="G951" s="4" t="str">
        <f>_xlfn.XLOOKUP($B951,supplier_data!A:A,supplier_data!B:B)</f>
        <v>Apple</v>
      </c>
    </row>
    <row r="952" spans="1:7" x14ac:dyDescent="0.25">
      <c r="A952" s="1">
        <v>44969</v>
      </c>
      <c r="B952" t="s">
        <v>19</v>
      </c>
      <c r="C952" t="s">
        <v>7</v>
      </c>
      <c r="D952" t="s">
        <v>11</v>
      </c>
      <c r="E952">
        <v>468.54</v>
      </c>
      <c r="F952">
        <v>24</v>
      </c>
      <c r="G952" s="4" t="str">
        <f>_xlfn.XLOOKUP($B952,supplier_data!A:A,supplier_data!B:B)</f>
        <v>HP</v>
      </c>
    </row>
    <row r="953" spans="1:7" x14ac:dyDescent="0.25">
      <c r="A953" s="1">
        <v>45223</v>
      </c>
      <c r="B953" t="s">
        <v>20</v>
      </c>
      <c r="C953" t="s">
        <v>7</v>
      </c>
      <c r="D953" t="s">
        <v>11</v>
      </c>
      <c r="E953">
        <v>1809.75</v>
      </c>
      <c r="F953">
        <v>50</v>
      </c>
      <c r="G953" s="4" t="str">
        <f>_xlfn.XLOOKUP($B953,supplier_data!A:A,supplier_data!B:B)</f>
        <v>Logitech</v>
      </c>
    </row>
    <row r="954" spans="1:7" x14ac:dyDescent="0.25">
      <c r="A954" s="1">
        <v>45271</v>
      </c>
      <c r="B954" t="s">
        <v>6</v>
      </c>
      <c r="C954" t="s">
        <v>7</v>
      </c>
      <c r="D954" t="s">
        <v>8</v>
      </c>
      <c r="E954">
        <v>1065.3499999999999</v>
      </c>
      <c r="F954">
        <v>18</v>
      </c>
      <c r="G954" s="4" t="str">
        <f>_xlfn.XLOOKUP($B954,supplier_data!A:A,supplier_data!B:B)</f>
        <v>Canon</v>
      </c>
    </row>
    <row r="955" spans="1:7" x14ac:dyDescent="0.25">
      <c r="A955" s="1">
        <v>45012</v>
      </c>
      <c r="B955" t="s">
        <v>10</v>
      </c>
      <c r="C955" t="s">
        <v>7</v>
      </c>
      <c r="D955" t="s">
        <v>9</v>
      </c>
      <c r="E955">
        <v>693.28</v>
      </c>
      <c r="F955">
        <v>21</v>
      </c>
      <c r="G955" s="4" t="str">
        <f>_xlfn.XLOOKUP($B955,supplier_data!A:A,supplier_data!B:B)</f>
        <v>Samsung</v>
      </c>
    </row>
    <row r="956" spans="1:7" x14ac:dyDescent="0.25">
      <c r="A956" s="1">
        <v>45019</v>
      </c>
      <c r="B956" t="s">
        <v>14</v>
      </c>
      <c r="C956" t="s">
        <v>7</v>
      </c>
      <c r="D956" t="s">
        <v>8</v>
      </c>
      <c r="E956">
        <v>1016.02</v>
      </c>
      <c r="F956">
        <v>7</v>
      </c>
      <c r="G956" s="4" t="str">
        <f>_xlfn.XLOOKUP($B956,supplier_data!A:A,supplier_data!B:B)</f>
        <v>LG</v>
      </c>
    </row>
    <row r="957" spans="1:7" x14ac:dyDescent="0.25">
      <c r="A957" s="1">
        <v>45054</v>
      </c>
      <c r="B957" t="s">
        <v>20</v>
      </c>
      <c r="C957" t="s">
        <v>7</v>
      </c>
      <c r="D957" t="s">
        <v>8</v>
      </c>
      <c r="E957">
        <v>888.51</v>
      </c>
      <c r="F957">
        <v>6</v>
      </c>
      <c r="G957" s="4" t="str">
        <f>_xlfn.XLOOKUP($B957,supplier_data!A:A,supplier_data!B:B)</f>
        <v>Logitech</v>
      </c>
    </row>
    <row r="958" spans="1:7" x14ac:dyDescent="0.25">
      <c r="A958" s="1">
        <v>44984</v>
      </c>
      <c r="B958" t="s">
        <v>14</v>
      </c>
      <c r="C958" t="s">
        <v>7</v>
      </c>
      <c r="D958" t="s">
        <v>8</v>
      </c>
      <c r="E958">
        <v>925.16</v>
      </c>
      <c r="F958">
        <v>26</v>
      </c>
      <c r="G958" s="4" t="str">
        <f>_xlfn.XLOOKUP($B958,supplier_data!A:A,supplier_data!B:B)</f>
        <v>LG</v>
      </c>
    </row>
    <row r="959" spans="1:7" x14ac:dyDescent="0.25">
      <c r="A959" s="1">
        <v>45004</v>
      </c>
      <c r="B959" t="s">
        <v>10</v>
      </c>
      <c r="C959" t="s">
        <v>7</v>
      </c>
      <c r="D959" t="s">
        <v>9</v>
      </c>
      <c r="E959">
        <v>380.99</v>
      </c>
      <c r="F959">
        <v>44</v>
      </c>
      <c r="G959" s="4" t="str">
        <f>_xlfn.XLOOKUP($B959,supplier_data!A:A,supplier_data!B:B)</f>
        <v>Samsung</v>
      </c>
    </row>
    <row r="960" spans="1:7" x14ac:dyDescent="0.25">
      <c r="A960" s="1">
        <v>45183</v>
      </c>
      <c r="B960" t="s">
        <v>12</v>
      </c>
      <c r="C960" t="s">
        <v>7</v>
      </c>
      <c r="D960" t="s">
        <v>8</v>
      </c>
      <c r="E960">
        <v>618.09</v>
      </c>
      <c r="F960">
        <v>39</v>
      </c>
      <c r="G960" s="4" t="str">
        <f>_xlfn.XLOOKUP($B960,supplier_data!A:A,supplier_data!B:B)</f>
        <v>Dell</v>
      </c>
    </row>
    <row r="961" spans="1:7" x14ac:dyDescent="0.25">
      <c r="A961" s="1">
        <v>45034</v>
      </c>
      <c r="B961" t="s">
        <v>21</v>
      </c>
      <c r="C961" t="s">
        <v>7</v>
      </c>
      <c r="D961" t="s">
        <v>8</v>
      </c>
      <c r="E961">
        <v>1189.1600000000001</v>
      </c>
      <c r="F961">
        <v>40</v>
      </c>
      <c r="G961" s="4" t="str">
        <f>_xlfn.XLOOKUP($B961,supplier_data!A:A,supplier_data!B:B)</f>
        <v>Sony</v>
      </c>
    </row>
    <row r="962" spans="1:7" x14ac:dyDescent="0.25">
      <c r="A962" s="1">
        <v>45138</v>
      </c>
      <c r="B962" t="s">
        <v>14</v>
      </c>
      <c r="C962" t="s">
        <v>7</v>
      </c>
      <c r="D962" t="s">
        <v>8</v>
      </c>
      <c r="E962">
        <v>761.93</v>
      </c>
      <c r="F962">
        <v>38</v>
      </c>
      <c r="G962" s="4" t="str">
        <f>_xlfn.XLOOKUP($B962,supplier_data!A:A,supplier_data!B:B)</f>
        <v>LG</v>
      </c>
    </row>
    <row r="963" spans="1:7" x14ac:dyDescent="0.25">
      <c r="A963" s="1">
        <v>45081</v>
      </c>
      <c r="B963" t="s">
        <v>17</v>
      </c>
      <c r="C963" t="s">
        <v>18</v>
      </c>
      <c r="D963" t="s">
        <v>9</v>
      </c>
      <c r="E963">
        <v>618.09</v>
      </c>
      <c r="F963">
        <v>21</v>
      </c>
      <c r="G963" s="4" t="str">
        <f>_xlfn.XLOOKUP($B963,supplier_data!A:A,supplier_data!B:B)</f>
        <v>Fossil</v>
      </c>
    </row>
    <row r="964" spans="1:7" x14ac:dyDescent="0.25">
      <c r="A964" s="1">
        <v>45085</v>
      </c>
      <c r="B964" t="s">
        <v>22</v>
      </c>
      <c r="C964" t="s">
        <v>7</v>
      </c>
      <c r="D964" t="s">
        <v>9</v>
      </c>
      <c r="E964">
        <v>138.58000000000001</v>
      </c>
      <c r="F964">
        <v>35</v>
      </c>
      <c r="G964" s="4" t="str">
        <f>_xlfn.XLOOKUP($B964,supplier_data!A:A,supplier_data!B:B)</f>
        <v>Apple</v>
      </c>
    </row>
    <row r="965" spans="1:7" x14ac:dyDescent="0.25">
      <c r="A965" s="1">
        <v>44938</v>
      </c>
      <c r="B965" t="s">
        <v>22</v>
      </c>
      <c r="C965" t="s">
        <v>7</v>
      </c>
      <c r="D965" t="s">
        <v>9</v>
      </c>
      <c r="E965">
        <v>1764.33</v>
      </c>
      <c r="F965">
        <v>44</v>
      </c>
      <c r="G965" s="4" t="str">
        <f>_xlfn.XLOOKUP($B965,supplier_data!A:A,supplier_data!B:B)</f>
        <v>Apple</v>
      </c>
    </row>
    <row r="966" spans="1:7" x14ac:dyDescent="0.25">
      <c r="A966" s="1">
        <v>45092</v>
      </c>
      <c r="B966" t="s">
        <v>19</v>
      </c>
      <c r="C966" t="s">
        <v>7</v>
      </c>
      <c r="D966" t="s">
        <v>9</v>
      </c>
      <c r="E966">
        <v>1954.99</v>
      </c>
      <c r="F966">
        <v>10</v>
      </c>
      <c r="G966" s="4" t="str">
        <f>_xlfn.XLOOKUP($B966,supplier_data!A:A,supplier_data!B:B)</f>
        <v>HP</v>
      </c>
    </row>
    <row r="967" spans="1:7" x14ac:dyDescent="0.25">
      <c r="A967" s="1">
        <v>45002</v>
      </c>
      <c r="B967" t="s">
        <v>22</v>
      </c>
      <c r="C967" t="s">
        <v>7</v>
      </c>
      <c r="D967" t="s">
        <v>13</v>
      </c>
      <c r="E967">
        <v>161.74</v>
      </c>
      <c r="F967">
        <v>31</v>
      </c>
      <c r="G967" s="4" t="str">
        <f>_xlfn.XLOOKUP($B967,supplier_data!A:A,supplier_data!B:B)</f>
        <v>Apple</v>
      </c>
    </row>
    <row r="968" spans="1:7" x14ac:dyDescent="0.25">
      <c r="A968" s="1">
        <v>45146</v>
      </c>
      <c r="B968" t="s">
        <v>12</v>
      </c>
      <c r="C968" t="s">
        <v>7</v>
      </c>
      <c r="D968" t="s">
        <v>13</v>
      </c>
      <c r="E968">
        <v>442.1</v>
      </c>
      <c r="F968">
        <v>34</v>
      </c>
      <c r="G968" s="4" t="str">
        <f>_xlfn.XLOOKUP($B968,supplier_data!A:A,supplier_data!B:B)</f>
        <v>Dell</v>
      </c>
    </row>
    <row r="969" spans="1:7" x14ac:dyDescent="0.25">
      <c r="A969" s="1">
        <v>45021</v>
      </c>
      <c r="B969" t="s">
        <v>19</v>
      </c>
      <c r="C969" t="s">
        <v>7</v>
      </c>
      <c r="D969" t="s">
        <v>9</v>
      </c>
      <c r="E969">
        <v>146.24</v>
      </c>
      <c r="F969">
        <v>9</v>
      </c>
      <c r="G969" s="4" t="str">
        <f>_xlfn.XLOOKUP($B969,supplier_data!A:A,supplier_data!B:B)</f>
        <v>HP</v>
      </c>
    </row>
    <row r="970" spans="1:7" x14ac:dyDescent="0.25">
      <c r="A970" s="1">
        <v>45064</v>
      </c>
      <c r="B970" t="s">
        <v>17</v>
      </c>
      <c r="C970" t="s">
        <v>18</v>
      </c>
      <c r="D970" t="s">
        <v>13</v>
      </c>
      <c r="E970">
        <v>1237.2</v>
      </c>
      <c r="F970">
        <v>46</v>
      </c>
      <c r="G970" s="4" t="str">
        <f>_xlfn.XLOOKUP($B970,supplier_data!A:A,supplier_data!B:B)</f>
        <v>Fossil</v>
      </c>
    </row>
    <row r="971" spans="1:7" x14ac:dyDescent="0.25">
      <c r="A971" s="1">
        <v>44982</v>
      </c>
      <c r="B971" t="s">
        <v>20</v>
      </c>
      <c r="C971" t="s">
        <v>7</v>
      </c>
      <c r="D971" t="s">
        <v>8</v>
      </c>
      <c r="E971">
        <v>1864.16</v>
      </c>
      <c r="F971">
        <v>27</v>
      </c>
      <c r="G971" s="4" t="str">
        <f>_xlfn.XLOOKUP($B971,supplier_data!A:A,supplier_data!B:B)</f>
        <v>Logitech</v>
      </c>
    </row>
    <row r="972" spans="1:7" x14ac:dyDescent="0.25">
      <c r="A972" s="1">
        <v>45043</v>
      </c>
      <c r="B972" t="s">
        <v>20</v>
      </c>
      <c r="C972" t="s">
        <v>7</v>
      </c>
      <c r="D972" t="s">
        <v>11</v>
      </c>
      <c r="E972">
        <v>220.35</v>
      </c>
      <c r="F972">
        <v>44</v>
      </c>
      <c r="G972" s="4" t="str">
        <f>_xlfn.XLOOKUP($B972,supplier_data!A:A,supplier_data!B:B)</f>
        <v>Logitech</v>
      </c>
    </row>
    <row r="973" spans="1:7" x14ac:dyDescent="0.25">
      <c r="A973" s="1">
        <v>44957</v>
      </c>
      <c r="B973" t="s">
        <v>15</v>
      </c>
      <c r="C973" t="s">
        <v>16</v>
      </c>
      <c r="D973" t="s">
        <v>8</v>
      </c>
      <c r="E973">
        <v>1389.59</v>
      </c>
      <c r="F973">
        <v>6</v>
      </c>
      <c r="G973" s="4" t="str">
        <f>_xlfn.XLOOKUP($B973,supplier_data!A:A,supplier_data!B:B)</f>
        <v>Nike</v>
      </c>
    </row>
    <row r="974" spans="1:7" x14ac:dyDescent="0.25">
      <c r="A974" s="1">
        <v>45277</v>
      </c>
      <c r="B974" t="s">
        <v>12</v>
      </c>
      <c r="C974" t="s">
        <v>7</v>
      </c>
      <c r="D974" t="s">
        <v>9</v>
      </c>
      <c r="E974">
        <v>998.71</v>
      </c>
      <c r="F974">
        <v>38</v>
      </c>
      <c r="G974" s="4" t="str">
        <f>_xlfn.XLOOKUP($B974,supplier_data!A:A,supplier_data!B:B)</f>
        <v>Dell</v>
      </c>
    </row>
    <row r="975" spans="1:7" x14ac:dyDescent="0.25">
      <c r="A975" s="1">
        <v>45128</v>
      </c>
      <c r="B975" t="s">
        <v>10</v>
      </c>
      <c r="C975" t="s">
        <v>7</v>
      </c>
      <c r="D975" t="s">
        <v>8</v>
      </c>
      <c r="E975">
        <v>1734.97</v>
      </c>
      <c r="F975">
        <v>21</v>
      </c>
      <c r="G975" s="4" t="str">
        <f>_xlfn.XLOOKUP($B975,supplier_data!A:A,supplier_data!B:B)</f>
        <v>Samsung</v>
      </c>
    </row>
    <row r="976" spans="1:7" x14ac:dyDescent="0.25">
      <c r="A976" s="1">
        <v>45291</v>
      </c>
      <c r="B976" t="s">
        <v>19</v>
      </c>
      <c r="C976" t="s">
        <v>7</v>
      </c>
      <c r="D976" t="s">
        <v>9</v>
      </c>
      <c r="E976">
        <v>222.81</v>
      </c>
      <c r="F976">
        <v>31</v>
      </c>
      <c r="G976" s="4" t="str">
        <f>_xlfn.XLOOKUP($B976,supplier_data!A:A,supplier_data!B:B)</f>
        <v>HP</v>
      </c>
    </row>
    <row r="977" spans="1:7" x14ac:dyDescent="0.25">
      <c r="A977" s="1">
        <v>45118</v>
      </c>
      <c r="B977" t="s">
        <v>22</v>
      </c>
      <c r="C977" t="s">
        <v>7</v>
      </c>
      <c r="D977" t="s">
        <v>11</v>
      </c>
      <c r="E977">
        <v>1576.02</v>
      </c>
      <c r="F977">
        <v>45</v>
      </c>
      <c r="G977" s="4" t="str">
        <f>_xlfn.XLOOKUP($B977,supplier_data!A:A,supplier_data!B:B)</f>
        <v>Apple</v>
      </c>
    </row>
    <row r="978" spans="1:7" x14ac:dyDescent="0.25">
      <c r="A978" s="1">
        <v>45269</v>
      </c>
      <c r="B978" t="s">
        <v>17</v>
      </c>
      <c r="C978" t="s">
        <v>18</v>
      </c>
      <c r="D978" t="s">
        <v>8</v>
      </c>
      <c r="E978">
        <v>888.12</v>
      </c>
      <c r="F978">
        <v>26</v>
      </c>
      <c r="G978" s="4" t="str">
        <f>_xlfn.XLOOKUP($B978,supplier_data!A:A,supplier_data!B:B)</f>
        <v>Fossil</v>
      </c>
    </row>
    <row r="979" spans="1:7" x14ac:dyDescent="0.25">
      <c r="A979" s="1">
        <v>45036</v>
      </c>
      <c r="B979" t="s">
        <v>14</v>
      </c>
      <c r="C979" t="s">
        <v>7</v>
      </c>
      <c r="D979" t="s">
        <v>11</v>
      </c>
      <c r="E979">
        <v>1502.47</v>
      </c>
      <c r="F979">
        <v>29</v>
      </c>
      <c r="G979" s="4" t="str">
        <f>_xlfn.XLOOKUP($B979,supplier_data!A:A,supplier_data!B:B)</f>
        <v>LG</v>
      </c>
    </row>
    <row r="980" spans="1:7" x14ac:dyDescent="0.25">
      <c r="A980" s="1">
        <v>45220</v>
      </c>
      <c r="B980" t="s">
        <v>20</v>
      </c>
      <c r="C980" t="s">
        <v>7</v>
      </c>
      <c r="D980" t="s">
        <v>8</v>
      </c>
      <c r="E980">
        <v>1173.96</v>
      </c>
      <c r="F980">
        <v>22</v>
      </c>
      <c r="G980" s="4" t="str">
        <f>_xlfn.XLOOKUP($B980,supplier_data!A:A,supplier_data!B:B)</f>
        <v>Logitech</v>
      </c>
    </row>
    <row r="981" spans="1:7" x14ac:dyDescent="0.25">
      <c r="A981" s="1">
        <v>45257</v>
      </c>
      <c r="B981" t="s">
        <v>21</v>
      </c>
      <c r="C981" t="s">
        <v>7</v>
      </c>
      <c r="D981" t="s">
        <v>9</v>
      </c>
      <c r="E981">
        <v>1421.01</v>
      </c>
      <c r="F981">
        <v>48</v>
      </c>
      <c r="G981" s="4" t="str">
        <f>_xlfn.XLOOKUP($B981,supplier_data!A:A,supplier_data!B:B)</f>
        <v>Sony</v>
      </c>
    </row>
    <row r="982" spans="1:7" x14ac:dyDescent="0.25">
      <c r="A982" s="1">
        <v>45192</v>
      </c>
      <c r="B982" t="s">
        <v>20</v>
      </c>
      <c r="C982" t="s">
        <v>7</v>
      </c>
      <c r="D982" t="s">
        <v>8</v>
      </c>
      <c r="E982">
        <v>1451.65</v>
      </c>
      <c r="F982">
        <v>34</v>
      </c>
      <c r="G982" s="4" t="str">
        <f>_xlfn.XLOOKUP($B982,supplier_data!A:A,supplier_data!B:B)</f>
        <v>Logitech</v>
      </c>
    </row>
    <row r="983" spans="1:7" x14ac:dyDescent="0.25">
      <c r="A983" s="1">
        <v>45262</v>
      </c>
      <c r="B983" t="s">
        <v>22</v>
      </c>
      <c r="C983" t="s">
        <v>7</v>
      </c>
      <c r="D983" t="s">
        <v>13</v>
      </c>
      <c r="E983">
        <v>794.62</v>
      </c>
      <c r="F983">
        <v>46</v>
      </c>
      <c r="G983" s="4" t="str">
        <f>_xlfn.XLOOKUP($B983,supplier_data!A:A,supplier_data!B:B)</f>
        <v>Apple</v>
      </c>
    </row>
    <row r="984" spans="1:7" x14ac:dyDescent="0.25">
      <c r="A984" s="1">
        <v>45257</v>
      </c>
      <c r="B984" t="s">
        <v>17</v>
      </c>
      <c r="C984" t="s">
        <v>18</v>
      </c>
      <c r="D984" t="s">
        <v>11</v>
      </c>
      <c r="E984">
        <v>1790.2</v>
      </c>
      <c r="F984">
        <v>35</v>
      </c>
      <c r="G984" s="4" t="str">
        <f>_xlfn.XLOOKUP($B984,supplier_data!A:A,supplier_data!B:B)</f>
        <v>Fossil</v>
      </c>
    </row>
    <row r="985" spans="1:7" x14ac:dyDescent="0.25">
      <c r="A985" s="1">
        <v>45152</v>
      </c>
      <c r="B985" t="s">
        <v>15</v>
      </c>
      <c r="C985" t="s">
        <v>16</v>
      </c>
      <c r="D985" t="s">
        <v>13</v>
      </c>
      <c r="E985">
        <v>1317.07</v>
      </c>
      <c r="F985">
        <v>38</v>
      </c>
      <c r="G985" s="4" t="str">
        <f>_xlfn.XLOOKUP($B985,supplier_data!A:A,supplier_data!B:B)</f>
        <v>Nike</v>
      </c>
    </row>
    <row r="986" spans="1:7" x14ac:dyDescent="0.25">
      <c r="A986" s="1">
        <v>45005</v>
      </c>
      <c r="B986" t="s">
        <v>17</v>
      </c>
      <c r="C986" t="s">
        <v>18</v>
      </c>
      <c r="D986" t="s">
        <v>9</v>
      </c>
      <c r="E986">
        <v>533.39</v>
      </c>
      <c r="F986">
        <v>20</v>
      </c>
      <c r="G986" s="4" t="str">
        <f>_xlfn.XLOOKUP($B986,supplier_data!A:A,supplier_data!B:B)</f>
        <v>Fossil</v>
      </c>
    </row>
    <row r="987" spans="1:7" x14ac:dyDescent="0.25">
      <c r="A987" s="1">
        <v>45052</v>
      </c>
      <c r="B987" t="s">
        <v>19</v>
      </c>
      <c r="C987" t="s">
        <v>7</v>
      </c>
      <c r="D987" t="s">
        <v>9</v>
      </c>
      <c r="E987">
        <v>869.26</v>
      </c>
      <c r="F987">
        <v>27</v>
      </c>
      <c r="G987" s="4" t="str">
        <f>_xlfn.XLOOKUP($B987,supplier_data!A:A,supplier_data!B:B)</f>
        <v>HP</v>
      </c>
    </row>
    <row r="988" spans="1:7" x14ac:dyDescent="0.25">
      <c r="A988" s="1">
        <v>45223</v>
      </c>
      <c r="B988" t="s">
        <v>6</v>
      </c>
      <c r="C988" t="s">
        <v>7</v>
      </c>
      <c r="D988" t="s">
        <v>13</v>
      </c>
      <c r="E988">
        <v>538.74</v>
      </c>
      <c r="F988">
        <v>40</v>
      </c>
      <c r="G988" s="4" t="str">
        <f>_xlfn.XLOOKUP($B988,supplier_data!A:A,supplier_data!B:B)</f>
        <v>Canon</v>
      </c>
    </row>
    <row r="989" spans="1:7" x14ac:dyDescent="0.25">
      <c r="A989" s="1">
        <v>45075</v>
      </c>
      <c r="B989" t="s">
        <v>15</v>
      </c>
      <c r="C989" t="s">
        <v>16</v>
      </c>
      <c r="D989" t="s">
        <v>11</v>
      </c>
      <c r="E989">
        <v>683.63</v>
      </c>
      <c r="F989">
        <v>10</v>
      </c>
      <c r="G989" s="4" t="str">
        <f>_xlfn.XLOOKUP($B989,supplier_data!A:A,supplier_data!B:B)</f>
        <v>Nike</v>
      </c>
    </row>
    <row r="990" spans="1:7" x14ac:dyDescent="0.25">
      <c r="A990" s="1">
        <v>45030</v>
      </c>
      <c r="B990" t="s">
        <v>20</v>
      </c>
      <c r="C990" t="s">
        <v>7</v>
      </c>
      <c r="D990" t="s">
        <v>13</v>
      </c>
      <c r="E990">
        <v>219.62</v>
      </c>
      <c r="F990">
        <v>41</v>
      </c>
      <c r="G990" s="4" t="str">
        <f>_xlfn.XLOOKUP($B990,supplier_data!A:A,supplier_data!B:B)</f>
        <v>Logitech</v>
      </c>
    </row>
    <row r="991" spans="1:7" x14ac:dyDescent="0.25">
      <c r="A991" s="1">
        <v>45189</v>
      </c>
      <c r="B991" t="s">
        <v>20</v>
      </c>
      <c r="C991" t="s">
        <v>7</v>
      </c>
      <c r="D991" t="s">
        <v>9</v>
      </c>
      <c r="E991">
        <v>879.37</v>
      </c>
      <c r="F991">
        <v>33</v>
      </c>
      <c r="G991" s="4" t="str">
        <f>_xlfn.XLOOKUP($B991,supplier_data!A:A,supplier_data!B:B)</f>
        <v>Logitech</v>
      </c>
    </row>
    <row r="992" spans="1:7" x14ac:dyDescent="0.25">
      <c r="A992" s="1">
        <v>45166</v>
      </c>
      <c r="B992" t="s">
        <v>22</v>
      </c>
      <c r="C992" t="s">
        <v>7</v>
      </c>
      <c r="D992" t="s">
        <v>11</v>
      </c>
      <c r="E992">
        <v>1770.34</v>
      </c>
      <c r="F992">
        <v>19</v>
      </c>
      <c r="G992" s="4" t="str">
        <f>_xlfn.XLOOKUP($B992,supplier_data!A:A,supplier_data!B:B)</f>
        <v>Apple</v>
      </c>
    </row>
    <row r="993" spans="1:7" x14ac:dyDescent="0.25">
      <c r="A993" s="1">
        <v>45133</v>
      </c>
      <c r="B993" t="s">
        <v>21</v>
      </c>
      <c r="C993" t="s">
        <v>7</v>
      </c>
      <c r="D993" t="s">
        <v>13</v>
      </c>
      <c r="E993">
        <v>229.57</v>
      </c>
      <c r="F993">
        <v>1</v>
      </c>
      <c r="G993" s="4" t="str">
        <f>_xlfn.XLOOKUP($B993,supplier_data!A:A,supplier_data!B:B)</f>
        <v>Sony</v>
      </c>
    </row>
    <row r="994" spans="1:7" x14ac:dyDescent="0.25">
      <c r="A994" s="1">
        <v>45262</v>
      </c>
      <c r="B994" t="s">
        <v>6</v>
      </c>
      <c r="C994" t="s">
        <v>7</v>
      </c>
      <c r="D994" t="s">
        <v>9</v>
      </c>
      <c r="E994">
        <v>1234.05</v>
      </c>
      <c r="F994">
        <v>34</v>
      </c>
      <c r="G994" s="4" t="str">
        <f>_xlfn.XLOOKUP($B994,supplier_data!A:A,supplier_data!B:B)</f>
        <v>Canon</v>
      </c>
    </row>
    <row r="995" spans="1:7" x14ac:dyDescent="0.25">
      <c r="A995" s="1">
        <v>45279</v>
      </c>
      <c r="B995" t="s">
        <v>17</v>
      </c>
      <c r="C995" t="s">
        <v>18</v>
      </c>
      <c r="D995" t="s">
        <v>13</v>
      </c>
      <c r="E995">
        <v>194.78</v>
      </c>
      <c r="F995">
        <v>33</v>
      </c>
      <c r="G995" s="4" t="str">
        <f>_xlfn.XLOOKUP($B995,supplier_data!A:A,supplier_data!B:B)</f>
        <v>Fossil</v>
      </c>
    </row>
    <row r="996" spans="1:7" x14ac:dyDescent="0.25">
      <c r="A996" s="1">
        <v>45247</v>
      </c>
      <c r="B996" t="s">
        <v>6</v>
      </c>
      <c r="C996" t="s">
        <v>7</v>
      </c>
      <c r="D996" t="s">
        <v>13</v>
      </c>
      <c r="E996">
        <v>1603.41</v>
      </c>
      <c r="F996">
        <v>40</v>
      </c>
      <c r="G996" s="4" t="str">
        <f>_xlfn.XLOOKUP($B996,supplier_data!A:A,supplier_data!B:B)</f>
        <v>Canon</v>
      </c>
    </row>
    <row r="997" spans="1:7" x14ac:dyDescent="0.25">
      <c r="A997" s="1">
        <v>45260</v>
      </c>
      <c r="B997" t="s">
        <v>15</v>
      </c>
      <c r="C997" t="s">
        <v>16</v>
      </c>
      <c r="D997" t="s">
        <v>11</v>
      </c>
      <c r="E997">
        <v>1080.17</v>
      </c>
      <c r="F997">
        <v>8</v>
      </c>
      <c r="G997" s="4" t="str">
        <f>_xlfn.XLOOKUP($B997,supplier_data!A:A,supplier_data!B:B)</f>
        <v>Nike</v>
      </c>
    </row>
    <row r="998" spans="1:7" x14ac:dyDescent="0.25">
      <c r="A998" s="1">
        <v>44987</v>
      </c>
      <c r="B998" t="s">
        <v>22</v>
      </c>
      <c r="C998" t="s">
        <v>7</v>
      </c>
      <c r="D998" t="s">
        <v>9</v>
      </c>
      <c r="E998">
        <v>1296.24</v>
      </c>
      <c r="F998">
        <v>49</v>
      </c>
      <c r="G998" s="4" t="str">
        <f>_xlfn.XLOOKUP($B998,supplier_data!A:A,supplier_data!B:B)</f>
        <v>Apple</v>
      </c>
    </row>
    <row r="999" spans="1:7" x14ac:dyDescent="0.25">
      <c r="A999" s="1">
        <v>45238</v>
      </c>
      <c r="B999" t="s">
        <v>22</v>
      </c>
      <c r="C999" t="s">
        <v>7</v>
      </c>
      <c r="D999" t="s">
        <v>8</v>
      </c>
      <c r="E999">
        <v>1057.9100000000001</v>
      </c>
      <c r="F999">
        <v>31</v>
      </c>
      <c r="G999" s="4" t="str">
        <f>_xlfn.XLOOKUP($B999,supplier_data!A:A,supplier_data!B:B)</f>
        <v>Apple</v>
      </c>
    </row>
    <row r="1000" spans="1:7" x14ac:dyDescent="0.25">
      <c r="A1000" s="1">
        <v>45038</v>
      </c>
      <c r="B1000" t="s">
        <v>10</v>
      </c>
      <c r="C1000" t="s">
        <v>7</v>
      </c>
      <c r="D1000" t="s">
        <v>11</v>
      </c>
      <c r="E1000">
        <v>314.5</v>
      </c>
      <c r="F1000">
        <v>29</v>
      </c>
      <c r="G1000" s="4" t="str">
        <f>_xlfn.XLOOKUP($B1000,supplier_data!A:A,supplier_data!B:B)</f>
        <v>Samsung</v>
      </c>
    </row>
    <row r="1001" spans="1:7" x14ac:dyDescent="0.25">
      <c r="A1001" s="1">
        <v>45214</v>
      </c>
      <c r="B1001" t="s">
        <v>14</v>
      </c>
      <c r="C1001" t="s">
        <v>7</v>
      </c>
      <c r="D1001" t="s">
        <v>9</v>
      </c>
      <c r="E1001">
        <v>1334.14</v>
      </c>
      <c r="F1001">
        <v>8</v>
      </c>
      <c r="G1001" s="4" t="str">
        <f>_xlfn.XLOOKUP($B1001,supplier_data!A:A,supplier_data!B:B)</f>
        <v>LG</v>
      </c>
    </row>
  </sheetData>
  <autoFilter ref="A1:F1001" xr:uid="{50F5342F-A8AA-49EC-8B9E-8958F61F1D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7CE1-A51A-4CBD-8AA1-FCC97ABEC29F}">
  <dimension ref="A1:C11"/>
  <sheetViews>
    <sheetView workbookViewId="0">
      <selection activeCell="D2" sqref="D2"/>
    </sheetView>
  </sheetViews>
  <sheetFormatPr defaultRowHeight="12" x14ac:dyDescent="0.25"/>
  <cols>
    <col min="1" max="1" width="12.140625" bestFit="1" customWidth="1"/>
    <col min="3" max="3" width="13.28515625" bestFit="1" customWidth="1"/>
  </cols>
  <sheetData>
    <row r="1" spans="1:3" x14ac:dyDescent="0.25">
      <c r="A1" s="2" t="s">
        <v>1</v>
      </c>
      <c r="B1" s="2" t="s">
        <v>23</v>
      </c>
      <c r="C1" s="2" t="s">
        <v>24</v>
      </c>
    </row>
    <row r="2" spans="1:3" x14ac:dyDescent="0.25">
      <c r="A2" s="3" t="s">
        <v>12</v>
      </c>
      <c r="B2" s="3" t="s">
        <v>25</v>
      </c>
      <c r="C2" s="3">
        <v>900</v>
      </c>
    </row>
    <row r="3" spans="1:3" x14ac:dyDescent="0.25">
      <c r="A3" s="3" t="s">
        <v>10</v>
      </c>
      <c r="B3" s="3" t="s">
        <v>26</v>
      </c>
      <c r="C3" s="3">
        <v>500</v>
      </c>
    </row>
    <row r="4" spans="1:3" x14ac:dyDescent="0.25">
      <c r="A4" s="3" t="s">
        <v>22</v>
      </c>
      <c r="B4" s="3" t="s">
        <v>27</v>
      </c>
      <c r="C4" s="3">
        <v>700</v>
      </c>
    </row>
    <row r="5" spans="1:3" x14ac:dyDescent="0.25">
      <c r="A5" s="3" t="s">
        <v>21</v>
      </c>
      <c r="B5" s="3" t="s">
        <v>28</v>
      </c>
      <c r="C5" s="3">
        <v>150</v>
      </c>
    </row>
    <row r="6" spans="1:3" x14ac:dyDescent="0.25">
      <c r="A6" s="3" t="s">
        <v>15</v>
      </c>
      <c r="B6" s="3" t="s">
        <v>29</v>
      </c>
      <c r="C6" s="3">
        <v>200</v>
      </c>
    </row>
    <row r="7" spans="1:3" x14ac:dyDescent="0.25">
      <c r="A7" s="3" t="s">
        <v>17</v>
      </c>
      <c r="B7" s="3" t="s">
        <v>30</v>
      </c>
      <c r="C7" s="3">
        <v>300</v>
      </c>
    </row>
    <row r="8" spans="1:3" x14ac:dyDescent="0.25">
      <c r="A8" s="3" t="s">
        <v>6</v>
      </c>
      <c r="B8" s="3" t="s">
        <v>31</v>
      </c>
      <c r="C8" s="3">
        <v>1200</v>
      </c>
    </row>
    <row r="9" spans="1:3" x14ac:dyDescent="0.25">
      <c r="A9" s="3" t="s">
        <v>14</v>
      </c>
      <c r="B9" s="3" t="s">
        <v>32</v>
      </c>
      <c r="C9" s="3">
        <v>350</v>
      </c>
    </row>
    <row r="10" spans="1:3" x14ac:dyDescent="0.25">
      <c r="A10" s="3" t="s">
        <v>20</v>
      </c>
      <c r="B10" s="3" t="s">
        <v>33</v>
      </c>
      <c r="C10" s="3">
        <v>100</v>
      </c>
    </row>
    <row r="11" spans="1:3" x14ac:dyDescent="0.25">
      <c r="A11" s="3" t="s">
        <v>19</v>
      </c>
      <c r="B11" s="3" t="s">
        <v>34</v>
      </c>
      <c r="C11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excel_eda_sample_data</vt:lpstr>
      <vt:lpstr>supplier_data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Gerishom Khatete John</dc:creator>
  <cp:lastModifiedBy>Gerishom Khatete</cp:lastModifiedBy>
  <dcterms:created xsi:type="dcterms:W3CDTF">2025-02-16T07:51:00Z</dcterms:created>
  <dcterms:modified xsi:type="dcterms:W3CDTF">2025-02-16T18:14:15Z</dcterms:modified>
</cp:coreProperties>
</file>